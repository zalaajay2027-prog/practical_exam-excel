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p\Desktop\ah\"/>
    </mc:Choice>
  </mc:AlternateContent>
  <bookViews>
    <workbookView xWindow="0" yWindow="0" windowWidth="28800" windowHeight="12870" activeTab="3"/>
  </bookViews>
  <sheets>
    <sheet name="pactical_exam" sheetId="1" r:id="rId1"/>
    <sheet name="pivot table" sheetId="3" r:id="rId2"/>
    <sheet name="clean_data" sheetId="2" r:id="rId3"/>
    <sheet name="advanted_formula" sheetId="4" r:id="rId4"/>
  </sheets>
  <externalReferences>
    <externalReference r:id="rId5"/>
  </externalReferences>
  <definedNames>
    <definedName name="NativeTimeline_Date">#N/A</definedName>
    <definedName name="Slicer_Year">#N/A</definedName>
  </definedNames>
  <calcPr calcId="162913"/>
  <pivotCaches>
    <pivotCache cacheId="18"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B8" i="3" l="1"/>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34" i="3"/>
  <c r="B99" i="4"/>
  <c r="B108" i="4"/>
  <c r="B105" i="4"/>
  <c r="B102" i="4"/>
</calcChain>
</file>

<file path=xl/sharedStrings.xml><?xml version="1.0" encoding="utf-8"?>
<sst xmlns="http://schemas.openxmlformats.org/spreadsheetml/2006/main" count="3175" uniqueCount="67">
  <si>
    <t>Date</t>
  </si>
  <si>
    <t>Day</t>
  </si>
  <si>
    <t>Month</t>
  </si>
  <si>
    <t>Year</t>
  </si>
  <si>
    <t>Customer_Age</t>
  </si>
  <si>
    <t>Age_Group</t>
  </si>
  <si>
    <t>Customer_Gender</t>
  </si>
  <si>
    <t>Country</t>
  </si>
  <si>
    <t>State</t>
  </si>
  <si>
    <t>Product_Category</t>
  </si>
  <si>
    <t>Sub_Category</t>
  </si>
  <si>
    <t>Product</t>
  </si>
  <si>
    <t>Order_Quantity</t>
  </si>
  <si>
    <t>Unit_Cost</t>
  </si>
  <si>
    <t>Unit_Price</t>
  </si>
  <si>
    <t>Profit</t>
  </si>
  <si>
    <t>Cost</t>
  </si>
  <si>
    <t>Revenue</t>
  </si>
  <si>
    <t>November</t>
  </si>
  <si>
    <t>Youth (&lt;25)</t>
  </si>
  <si>
    <t>M</t>
  </si>
  <si>
    <t>Canada</t>
  </si>
  <si>
    <t>British Columbia</t>
  </si>
  <si>
    <t>Accessories</t>
  </si>
  <si>
    <t>Bike Racks</t>
  </si>
  <si>
    <t>Hitch Rack - 4-Bike</t>
  </si>
  <si>
    <t>March</t>
  </si>
  <si>
    <t>Adults (35-64)</t>
  </si>
  <si>
    <t>Australia</t>
  </si>
  <si>
    <t>New South Wales</t>
  </si>
  <si>
    <t>May</t>
  </si>
  <si>
    <t>F</t>
  </si>
  <si>
    <t>Victoria</t>
  </si>
  <si>
    <t>February</t>
  </si>
  <si>
    <t>July</t>
  </si>
  <si>
    <t>Young Adults (25-34)</t>
  </si>
  <si>
    <t>August</t>
  </si>
  <si>
    <t>September</t>
  </si>
  <si>
    <t>January</t>
  </si>
  <si>
    <t>United States</t>
  </si>
  <si>
    <t>Oregon</t>
  </si>
  <si>
    <t>December</t>
  </si>
  <si>
    <t>California</t>
  </si>
  <si>
    <t>Germany</t>
  </si>
  <si>
    <t>Saarland</t>
  </si>
  <si>
    <t>France</t>
  </si>
  <si>
    <t>Seine Saint Denis</t>
  </si>
  <si>
    <t>Moselle</t>
  </si>
  <si>
    <t>Queensland</t>
  </si>
  <si>
    <t>United Kingdom</t>
  </si>
  <si>
    <t>England</t>
  </si>
  <si>
    <t>Nord</t>
  </si>
  <si>
    <t>June</t>
  </si>
  <si>
    <t>Washington</t>
  </si>
  <si>
    <t>Hessen</t>
  </si>
  <si>
    <t>October</t>
  </si>
  <si>
    <t>Row Labels</t>
  </si>
  <si>
    <t>Grand Total</t>
  </si>
  <si>
    <t>Column Labels</t>
  </si>
  <si>
    <t>Sum of Day</t>
  </si>
  <si>
    <t>pivot table chart</t>
  </si>
  <si>
    <t>vlookup</t>
  </si>
  <si>
    <t>index-match</t>
  </si>
  <si>
    <t>if condition</t>
  </si>
  <si>
    <t>nested if</t>
  </si>
  <si>
    <t>high/low</t>
  </si>
  <si>
    <t>condition formeting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</si>
</sst>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1"/>
      <color theme="1"/>
      <name val="Calibri"/>
      <family val="2"/>
      <scheme val="minor"/>
    </font>
    <font>
      <b/>
      <sz val="11"/>
      <color indexed="8"/>
      <name val="Calibri"/>
      <family val="2"/>
    </font>
    <font>
      <b/>
      <sz val="16"/>
      <color theme="1"/>
      <name val="Calibri"/>
      <family val="2"/>
      <scheme val="minor"/>
    </font>
    <font>
      <b/>
      <sz val="20"/>
      <color theme="1"/>
      <name val="Calibri"/>
      <family val="2"/>
      <scheme val="minor"/>
    </font>
    <font>
      <b/>
      <u val="double"/>
      <sz val="20"/>
      <color theme="1"/>
      <name val="Calibri"/>
      <family val="2"/>
      <scheme val="minor"/>
    </font>
    <font>
      <sz val="18"/>
      <color theme="1"/>
      <name val="Calibri"/>
      <family val="2"/>
      <scheme val="minor"/>
    </font>
  </fonts>
  <fills count="8">
    <fill>
      <patternFill patternType="none"/>
    </fill>
    <fill>
      <patternFill patternType="gray125"/>
    </fill>
    <fill>
      <patternFill patternType="solid">
        <fgColor theme="2"/>
        <bgColor indexed="64"/>
      </patternFill>
    </fill>
    <fill>
      <patternFill patternType="solid">
        <fgColor theme="3" tint="0.79998168889431442"/>
        <bgColor indexed="64"/>
      </patternFill>
    </fill>
    <fill>
      <patternFill patternType="solid">
        <fgColor theme="4" tint="-0.249977111117893"/>
        <bgColor indexed="64"/>
      </patternFill>
    </fill>
    <fill>
      <patternFill patternType="solid">
        <fgColor theme="8" tint="-0.249977111117893"/>
        <bgColor indexed="64"/>
      </patternFill>
    </fill>
    <fill>
      <patternFill patternType="solid">
        <fgColor rgb="FF92D050"/>
        <bgColor indexed="64"/>
      </patternFill>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5" fillId="3" borderId="0" xfId="0" applyFont="1" applyFill="1"/>
    <xf numFmtId="0" fontId="0" fillId="3" borderId="0" xfId="0" applyFont="1" applyFill="1"/>
    <xf numFmtId="0" fontId="0" fillId="2" borderId="0" xfId="0" applyFill="1"/>
    <xf numFmtId="0" fontId="0" fillId="4" borderId="0" xfId="0" applyFill="1"/>
    <xf numFmtId="0" fontId="0" fillId="5" borderId="0" xfId="0" applyFill="1" applyAlignment="1">
      <alignment horizontal="left"/>
    </xf>
    <xf numFmtId="0" fontId="0" fillId="5" borderId="0" xfId="0" applyNumberFormat="1" applyFill="1"/>
    <xf numFmtId="0" fontId="0" fillId="6" borderId="0" xfId="0" applyFill="1"/>
    <xf numFmtId="0" fontId="0" fillId="6" borderId="0" xfId="0" applyFill="1" applyAlignment="1">
      <alignment horizontal="left"/>
    </xf>
    <xf numFmtId="0" fontId="0" fillId="6" borderId="0" xfId="0" applyNumberFormat="1" applyFill="1"/>
    <xf numFmtId="0" fontId="0" fillId="7" borderId="0" xfId="0" applyFill="1"/>
    <xf numFmtId="0" fontId="6" fillId="0" borderId="0" xfId="0" applyFont="1"/>
    <xf numFmtId="0" fontId="2" fillId="0" borderId="1" xfId="0" applyNumberFormat="1" applyFont="1" applyFill="1" applyBorder="1" applyAlignment="1" applyProtection="1">
      <alignment vertical="center"/>
    </xf>
    <xf numFmtId="14" fontId="2" fillId="0" borderId="1" xfId="0" applyNumberFormat="1" applyFont="1" applyFill="1" applyBorder="1" applyAlignment="1" applyProtection="1">
      <alignment vertical="center"/>
    </xf>
    <xf numFmtId="0" fontId="4" fillId="4" borderId="0" xfId="0" applyFont="1" applyFill="1"/>
    <xf numFmtId="0" fontId="1" fillId="0" borderId="1" xfId="0" applyFont="1" applyBorder="1"/>
    <xf numFmtId="0" fontId="2" fillId="4" borderId="1" xfId="0" applyNumberFormat="1" applyFont="1" applyFill="1" applyBorder="1" applyAlignment="1" applyProtection="1">
      <alignment vertical="center"/>
    </xf>
    <xf numFmtId="0" fontId="3" fillId="0" borderId="1" xfId="0" applyFont="1" applyBorder="1"/>
  </cellXfs>
  <cellStyles count="1">
    <cellStyle name="Normal" xfId="0" builtinId="0"/>
  </cellStyles>
  <dxfs count="27">
    <dxf>
      <fill>
        <patternFill>
          <bgColor theme="8" tint="-0.249977111117893"/>
        </patternFill>
      </fill>
    </dxf>
    <dxf>
      <fill>
        <patternFill>
          <bgColor theme="4"/>
        </patternFill>
      </fill>
    </dxf>
    <dxf>
      <fill>
        <patternFill>
          <bgColor theme="4"/>
        </patternFill>
      </fill>
    </dxf>
    <dxf>
      <fill>
        <patternFill>
          <bgColor theme="4"/>
        </patternFill>
      </fill>
    </dxf>
    <dxf>
      <fill>
        <patternFill>
          <bgColor theme="2"/>
        </patternFill>
      </fill>
    </dxf>
    <dxf>
      <fill>
        <patternFill>
          <bgColor theme="2"/>
        </patternFill>
      </fill>
    </dxf>
    <dxf>
      <fill>
        <patternFill>
          <bgColor theme="2"/>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EXAM.xlsx]pivot table!PivotTable1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January</c:v>
                </c:pt>
              </c:strCache>
            </c:strRef>
          </c:tx>
          <c:spPr>
            <a:solidFill>
              <a:schemeClr val="accent1"/>
            </a:solidFill>
            <a:ln>
              <a:noFill/>
            </a:ln>
            <a:effectLst/>
          </c:spPr>
          <c:invertIfNegative val="0"/>
          <c:cat>
            <c:strRef>
              <c:f>'pivot table'!$A$5:$A$9</c:f>
              <c:strCache>
                <c:ptCount val="4"/>
                <c:pt idx="0">
                  <c:v>2013</c:v>
                </c:pt>
                <c:pt idx="1">
                  <c:v>2014</c:v>
                </c:pt>
                <c:pt idx="2">
                  <c:v>2015</c:v>
                </c:pt>
                <c:pt idx="3">
                  <c:v>2016</c:v>
                </c:pt>
              </c:strCache>
            </c:strRef>
          </c:cat>
          <c:val>
            <c:numRef>
              <c:f>'pivot table'!$B$5:$B$9</c:f>
              <c:numCache>
                <c:formatCode>General</c:formatCode>
                <c:ptCount val="4"/>
                <c:pt idx="1">
                  <c:v>24</c:v>
                </c:pt>
                <c:pt idx="3">
                  <c:v>24</c:v>
                </c:pt>
              </c:numCache>
            </c:numRef>
          </c:val>
          <c:extLst>
            <c:ext xmlns:c16="http://schemas.microsoft.com/office/drawing/2014/chart" uri="{C3380CC4-5D6E-409C-BE32-E72D297353CC}">
              <c16:uniqueId val="{00000000-452A-4D8B-B238-1DCC0C12798F}"/>
            </c:ext>
          </c:extLst>
        </c:ser>
        <c:ser>
          <c:idx val="1"/>
          <c:order val="1"/>
          <c:tx>
            <c:strRef>
              <c:f>'pivot table'!$C$3:$C$4</c:f>
              <c:strCache>
                <c:ptCount val="1"/>
                <c:pt idx="0">
                  <c:v>February</c:v>
                </c:pt>
              </c:strCache>
            </c:strRef>
          </c:tx>
          <c:spPr>
            <a:solidFill>
              <a:schemeClr val="accent2"/>
            </a:solidFill>
            <a:ln>
              <a:noFill/>
            </a:ln>
            <a:effectLst/>
          </c:spPr>
          <c:invertIfNegative val="0"/>
          <c:cat>
            <c:strRef>
              <c:f>'pivot table'!$A$5:$A$9</c:f>
              <c:strCache>
                <c:ptCount val="4"/>
                <c:pt idx="0">
                  <c:v>2013</c:v>
                </c:pt>
                <c:pt idx="1">
                  <c:v>2014</c:v>
                </c:pt>
                <c:pt idx="2">
                  <c:v>2015</c:v>
                </c:pt>
                <c:pt idx="3">
                  <c:v>2016</c:v>
                </c:pt>
              </c:strCache>
            </c:strRef>
          </c:cat>
          <c:val>
            <c:numRef>
              <c:f>'pivot table'!$C$5:$C$9</c:f>
              <c:numCache>
                <c:formatCode>General</c:formatCode>
                <c:ptCount val="4"/>
                <c:pt idx="1">
                  <c:v>38</c:v>
                </c:pt>
                <c:pt idx="3">
                  <c:v>38</c:v>
                </c:pt>
              </c:numCache>
            </c:numRef>
          </c:val>
          <c:extLst>
            <c:ext xmlns:c16="http://schemas.microsoft.com/office/drawing/2014/chart" uri="{C3380CC4-5D6E-409C-BE32-E72D297353CC}">
              <c16:uniqueId val="{00000001-452A-4D8B-B238-1DCC0C12798F}"/>
            </c:ext>
          </c:extLst>
        </c:ser>
        <c:ser>
          <c:idx val="2"/>
          <c:order val="2"/>
          <c:tx>
            <c:strRef>
              <c:f>'pivot table'!$D$3:$D$4</c:f>
              <c:strCache>
                <c:ptCount val="1"/>
                <c:pt idx="0">
                  <c:v>March</c:v>
                </c:pt>
              </c:strCache>
            </c:strRef>
          </c:tx>
          <c:spPr>
            <a:solidFill>
              <a:schemeClr val="accent3"/>
            </a:solidFill>
            <a:ln>
              <a:noFill/>
            </a:ln>
            <a:effectLst/>
          </c:spPr>
          <c:invertIfNegative val="0"/>
          <c:cat>
            <c:strRef>
              <c:f>'pivot table'!$A$5:$A$9</c:f>
              <c:strCache>
                <c:ptCount val="4"/>
                <c:pt idx="0">
                  <c:v>2013</c:v>
                </c:pt>
                <c:pt idx="1">
                  <c:v>2014</c:v>
                </c:pt>
                <c:pt idx="2">
                  <c:v>2015</c:v>
                </c:pt>
                <c:pt idx="3">
                  <c:v>2016</c:v>
                </c:pt>
              </c:strCache>
            </c:strRef>
          </c:cat>
          <c:val>
            <c:numRef>
              <c:f>'pivot table'!$D$5:$D$9</c:f>
              <c:numCache>
                <c:formatCode>General</c:formatCode>
                <c:ptCount val="4"/>
                <c:pt idx="1">
                  <c:v>136</c:v>
                </c:pt>
                <c:pt idx="3">
                  <c:v>136</c:v>
                </c:pt>
              </c:numCache>
            </c:numRef>
          </c:val>
          <c:extLst>
            <c:ext xmlns:c16="http://schemas.microsoft.com/office/drawing/2014/chart" uri="{C3380CC4-5D6E-409C-BE32-E72D297353CC}">
              <c16:uniqueId val="{00000002-452A-4D8B-B238-1DCC0C12798F}"/>
            </c:ext>
          </c:extLst>
        </c:ser>
        <c:ser>
          <c:idx val="3"/>
          <c:order val="3"/>
          <c:tx>
            <c:strRef>
              <c:f>'pivot table'!$E$3:$E$4</c:f>
              <c:strCache>
                <c:ptCount val="1"/>
                <c:pt idx="0">
                  <c:v>May</c:v>
                </c:pt>
              </c:strCache>
            </c:strRef>
          </c:tx>
          <c:spPr>
            <a:solidFill>
              <a:schemeClr val="accent4"/>
            </a:solidFill>
            <a:ln>
              <a:noFill/>
            </a:ln>
            <a:effectLst/>
          </c:spPr>
          <c:invertIfNegative val="0"/>
          <c:cat>
            <c:strRef>
              <c:f>'pivot table'!$A$5:$A$9</c:f>
              <c:strCache>
                <c:ptCount val="4"/>
                <c:pt idx="0">
                  <c:v>2013</c:v>
                </c:pt>
                <c:pt idx="1">
                  <c:v>2014</c:v>
                </c:pt>
                <c:pt idx="2">
                  <c:v>2015</c:v>
                </c:pt>
                <c:pt idx="3">
                  <c:v>2016</c:v>
                </c:pt>
              </c:strCache>
            </c:strRef>
          </c:cat>
          <c:val>
            <c:numRef>
              <c:f>'pivot table'!$E$5:$E$9</c:f>
              <c:numCache>
                <c:formatCode>General</c:formatCode>
                <c:ptCount val="4"/>
                <c:pt idx="1">
                  <c:v>128</c:v>
                </c:pt>
                <c:pt idx="3">
                  <c:v>111</c:v>
                </c:pt>
              </c:numCache>
            </c:numRef>
          </c:val>
          <c:extLst>
            <c:ext xmlns:c16="http://schemas.microsoft.com/office/drawing/2014/chart" uri="{C3380CC4-5D6E-409C-BE32-E72D297353CC}">
              <c16:uniqueId val="{00000003-452A-4D8B-B238-1DCC0C12798F}"/>
            </c:ext>
          </c:extLst>
        </c:ser>
        <c:ser>
          <c:idx val="4"/>
          <c:order val="4"/>
          <c:tx>
            <c:strRef>
              <c:f>'pivot table'!$F$3:$F$4</c:f>
              <c:strCache>
                <c:ptCount val="1"/>
                <c:pt idx="0">
                  <c:v>June</c:v>
                </c:pt>
              </c:strCache>
            </c:strRef>
          </c:tx>
          <c:spPr>
            <a:solidFill>
              <a:schemeClr val="accent5"/>
            </a:solidFill>
            <a:ln>
              <a:noFill/>
            </a:ln>
            <a:effectLst/>
          </c:spPr>
          <c:invertIfNegative val="0"/>
          <c:cat>
            <c:strRef>
              <c:f>'pivot table'!$A$5:$A$9</c:f>
              <c:strCache>
                <c:ptCount val="4"/>
                <c:pt idx="0">
                  <c:v>2013</c:v>
                </c:pt>
                <c:pt idx="1">
                  <c:v>2014</c:v>
                </c:pt>
                <c:pt idx="2">
                  <c:v>2015</c:v>
                </c:pt>
                <c:pt idx="3">
                  <c:v>2016</c:v>
                </c:pt>
              </c:strCache>
            </c:strRef>
          </c:cat>
          <c:val>
            <c:numRef>
              <c:f>'pivot table'!$F$5:$F$9</c:f>
              <c:numCache>
                <c:formatCode>General</c:formatCode>
                <c:ptCount val="4"/>
                <c:pt idx="1">
                  <c:v>47</c:v>
                </c:pt>
                <c:pt idx="3">
                  <c:v>47</c:v>
                </c:pt>
              </c:numCache>
            </c:numRef>
          </c:val>
          <c:extLst>
            <c:ext xmlns:c16="http://schemas.microsoft.com/office/drawing/2014/chart" uri="{C3380CC4-5D6E-409C-BE32-E72D297353CC}">
              <c16:uniqueId val="{00000004-452A-4D8B-B238-1DCC0C12798F}"/>
            </c:ext>
          </c:extLst>
        </c:ser>
        <c:ser>
          <c:idx val="5"/>
          <c:order val="5"/>
          <c:tx>
            <c:strRef>
              <c:f>'pivot table'!$G$3:$G$4</c:f>
              <c:strCache>
                <c:ptCount val="1"/>
                <c:pt idx="0">
                  <c:v>July</c:v>
                </c:pt>
              </c:strCache>
            </c:strRef>
          </c:tx>
          <c:spPr>
            <a:solidFill>
              <a:schemeClr val="accent6"/>
            </a:solidFill>
            <a:ln>
              <a:noFill/>
            </a:ln>
            <a:effectLst/>
          </c:spPr>
          <c:invertIfNegative val="0"/>
          <c:cat>
            <c:strRef>
              <c:f>'pivot table'!$A$5:$A$9</c:f>
              <c:strCache>
                <c:ptCount val="4"/>
                <c:pt idx="0">
                  <c:v>2013</c:v>
                </c:pt>
                <c:pt idx="1">
                  <c:v>2014</c:v>
                </c:pt>
                <c:pt idx="2">
                  <c:v>2015</c:v>
                </c:pt>
                <c:pt idx="3">
                  <c:v>2016</c:v>
                </c:pt>
              </c:strCache>
            </c:strRef>
          </c:cat>
          <c:val>
            <c:numRef>
              <c:f>'pivot table'!$G$5:$G$9</c:f>
              <c:numCache>
                <c:formatCode>General</c:formatCode>
                <c:ptCount val="4"/>
                <c:pt idx="0">
                  <c:v>109</c:v>
                </c:pt>
                <c:pt idx="1">
                  <c:v>10</c:v>
                </c:pt>
                <c:pt idx="2">
                  <c:v>109</c:v>
                </c:pt>
                <c:pt idx="3">
                  <c:v>10</c:v>
                </c:pt>
              </c:numCache>
            </c:numRef>
          </c:val>
          <c:extLst>
            <c:ext xmlns:c16="http://schemas.microsoft.com/office/drawing/2014/chart" uri="{C3380CC4-5D6E-409C-BE32-E72D297353CC}">
              <c16:uniqueId val="{00000005-452A-4D8B-B238-1DCC0C12798F}"/>
            </c:ext>
          </c:extLst>
        </c:ser>
        <c:ser>
          <c:idx val="6"/>
          <c:order val="6"/>
          <c:tx>
            <c:strRef>
              <c:f>'pivot table'!$H$3:$H$4</c:f>
              <c:strCache>
                <c:ptCount val="1"/>
                <c:pt idx="0">
                  <c:v>August</c:v>
                </c:pt>
              </c:strCache>
            </c:strRef>
          </c:tx>
          <c:spPr>
            <a:solidFill>
              <a:schemeClr val="accent1">
                <a:lumMod val="60000"/>
              </a:schemeClr>
            </a:solidFill>
            <a:ln>
              <a:noFill/>
            </a:ln>
            <a:effectLst/>
          </c:spPr>
          <c:invertIfNegative val="0"/>
          <c:cat>
            <c:strRef>
              <c:f>'pivot table'!$A$5:$A$9</c:f>
              <c:strCache>
                <c:ptCount val="4"/>
                <c:pt idx="0">
                  <c:v>2013</c:v>
                </c:pt>
                <c:pt idx="1">
                  <c:v>2014</c:v>
                </c:pt>
                <c:pt idx="2">
                  <c:v>2015</c:v>
                </c:pt>
                <c:pt idx="3">
                  <c:v>2016</c:v>
                </c:pt>
              </c:strCache>
            </c:strRef>
          </c:cat>
          <c:val>
            <c:numRef>
              <c:f>'pivot table'!$H$5:$H$9</c:f>
              <c:numCache>
                <c:formatCode>General</c:formatCode>
                <c:ptCount val="4"/>
                <c:pt idx="0">
                  <c:v>109</c:v>
                </c:pt>
                <c:pt idx="2">
                  <c:v>79</c:v>
                </c:pt>
              </c:numCache>
            </c:numRef>
          </c:val>
          <c:extLst>
            <c:ext xmlns:c16="http://schemas.microsoft.com/office/drawing/2014/chart" uri="{C3380CC4-5D6E-409C-BE32-E72D297353CC}">
              <c16:uniqueId val="{0000000B-452A-4D8B-B238-1DCC0C12798F}"/>
            </c:ext>
          </c:extLst>
        </c:ser>
        <c:ser>
          <c:idx val="7"/>
          <c:order val="7"/>
          <c:tx>
            <c:strRef>
              <c:f>'pivot table'!$I$3:$I$4</c:f>
              <c:strCache>
                <c:ptCount val="1"/>
                <c:pt idx="0">
                  <c:v>September</c:v>
                </c:pt>
              </c:strCache>
            </c:strRef>
          </c:tx>
          <c:spPr>
            <a:solidFill>
              <a:schemeClr val="accent2">
                <a:lumMod val="60000"/>
              </a:schemeClr>
            </a:solidFill>
            <a:ln>
              <a:noFill/>
            </a:ln>
            <a:effectLst/>
          </c:spPr>
          <c:invertIfNegative val="0"/>
          <c:cat>
            <c:strRef>
              <c:f>'pivot table'!$A$5:$A$9</c:f>
              <c:strCache>
                <c:ptCount val="4"/>
                <c:pt idx="0">
                  <c:v>2013</c:v>
                </c:pt>
                <c:pt idx="1">
                  <c:v>2014</c:v>
                </c:pt>
                <c:pt idx="2">
                  <c:v>2015</c:v>
                </c:pt>
                <c:pt idx="3">
                  <c:v>2016</c:v>
                </c:pt>
              </c:strCache>
            </c:strRef>
          </c:cat>
          <c:val>
            <c:numRef>
              <c:f>'pivot table'!$I$5:$I$9</c:f>
              <c:numCache>
                <c:formatCode>General</c:formatCode>
                <c:ptCount val="4"/>
                <c:pt idx="0">
                  <c:v>114</c:v>
                </c:pt>
                <c:pt idx="2">
                  <c:v>114</c:v>
                </c:pt>
              </c:numCache>
            </c:numRef>
          </c:val>
          <c:extLst>
            <c:ext xmlns:c16="http://schemas.microsoft.com/office/drawing/2014/chart" uri="{C3380CC4-5D6E-409C-BE32-E72D297353CC}">
              <c16:uniqueId val="{0000000C-452A-4D8B-B238-1DCC0C12798F}"/>
            </c:ext>
          </c:extLst>
        </c:ser>
        <c:ser>
          <c:idx val="8"/>
          <c:order val="8"/>
          <c:tx>
            <c:strRef>
              <c:f>'pivot table'!$J$3:$J$4</c:f>
              <c:strCache>
                <c:ptCount val="1"/>
                <c:pt idx="0">
                  <c:v>October</c:v>
                </c:pt>
              </c:strCache>
            </c:strRef>
          </c:tx>
          <c:spPr>
            <a:solidFill>
              <a:schemeClr val="accent3">
                <a:lumMod val="60000"/>
              </a:schemeClr>
            </a:solidFill>
            <a:ln>
              <a:noFill/>
            </a:ln>
            <a:effectLst/>
          </c:spPr>
          <c:invertIfNegative val="0"/>
          <c:cat>
            <c:strRef>
              <c:f>'pivot table'!$A$5:$A$9</c:f>
              <c:strCache>
                <c:ptCount val="4"/>
                <c:pt idx="0">
                  <c:v>2013</c:v>
                </c:pt>
                <c:pt idx="1">
                  <c:v>2014</c:v>
                </c:pt>
                <c:pt idx="2">
                  <c:v>2015</c:v>
                </c:pt>
                <c:pt idx="3">
                  <c:v>2016</c:v>
                </c:pt>
              </c:strCache>
            </c:strRef>
          </c:cat>
          <c:val>
            <c:numRef>
              <c:f>'pivot table'!$J$5:$J$9</c:f>
              <c:numCache>
                <c:formatCode>General</c:formatCode>
                <c:ptCount val="4"/>
                <c:pt idx="0">
                  <c:v>25</c:v>
                </c:pt>
              </c:numCache>
            </c:numRef>
          </c:val>
          <c:extLst>
            <c:ext xmlns:c16="http://schemas.microsoft.com/office/drawing/2014/chart" uri="{C3380CC4-5D6E-409C-BE32-E72D297353CC}">
              <c16:uniqueId val="{0000000D-452A-4D8B-B238-1DCC0C12798F}"/>
            </c:ext>
          </c:extLst>
        </c:ser>
        <c:ser>
          <c:idx val="9"/>
          <c:order val="9"/>
          <c:tx>
            <c:strRef>
              <c:f>'pivot table'!$K$3:$K$4</c:f>
              <c:strCache>
                <c:ptCount val="1"/>
                <c:pt idx="0">
                  <c:v>November</c:v>
                </c:pt>
              </c:strCache>
            </c:strRef>
          </c:tx>
          <c:spPr>
            <a:solidFill>
              <a:schemeClr val="accent4">
                <a:lumMod val="60000"/>
              </a:schemeClr>
            </a:solidFill>
            <a:ln>
              <a:noFill/>
            </a:ln>
            <a:effectLst/>
          </c:spPr>
          <c:invertIfNegative val="0"/>
          <c:cat>
            <c:strRef>
              <c:f>'pivot table'!$A$5:$A$9</c:f>
              <c:strCache>
                <c:ptCount val="4"/>
                <c:pt idx="0">
                  <c:v>2013</c:v>
                </c:pt>
                <c:pt idx="1">
                  <c:v>2014</c:v>
                </c:pt>
                <c:pt idx="2">
                  <c:v>2015</c:v>
                </c:pt>
                <c:pt idx="3">
                  <c:v>2016</c:v>
                </c:pt>
              </c:strCache>
            </c:strRef>
          </c:cat>
          <c:val>
            <c:numRef>
              <c:f>'pivot table'!$K$5:$K$9</c:f>
              <c:numCache>
                <c:formatCode>General</c:formatCode>
                <c:ptCount val="4"/>
                <c:pt idx="0">
                  <c:v>86</c:v>
                </c:pt>
                <c:pt idx="2">
                  <c:v>60</c:v>
                </c:pt>
              </c:numCache>
            </c:numRef>
          </c:val>
          <c:extLst>
            <c:ext xmlns:c16="http://schemas.microsoft.com/office/drawing/2014/chart" uri="{C3380CC4-5D6E-409C-BE32-E72D297353CC}">
              <c16:uniqueId val="{0000000E-452A-4D8B-B238-1DCC0C12798F}"/>
            </c:ext>
          </c:extLst>
        </c:ser>
        <c:ser>
          <c:idx val="10"/>
          <c:order val="10"/>
          <c:tx>
            <c:strRef>
              <c:f>'pivot table'!$L$3:$L$4</c:f>
              <c:strCache>
                <c:ptCount val="1"/>
                <c:pt idx="0">
                  <c:v>December</c:v>
                </c:pt>
              </c:strCache>
            </c:strRef>
          </c:tx>
          <c:spPr>
            <a:solidFill>
              <a:schemeClr val="accent5">
                <a:lumMod val="60000"/>
              </a:schemeClr>
            </a:solidFill>
            <a:ln>
              <a:noFill/>
            </a:ln>
            <a:effectLst/>
          </c:spPr>
          <c:invertIfNegative val="0"/>
          <c:cat>
            <c:strRef>
              <c:f>'pivot table'!$A$5:$A$9</c:f>
              <c:strCache>
                <c:ptCount val="4"/>
                <c:pt idx="0">
                  <c:v>2013</c:v>
                </c:pt>
                <c:pt idx="1">
                  <c:v>2014</c:v>
                </c:pt>
                <c:pt idx="2">
                  <c:v>2015</c:v>
                </c:pt>
                <c:pt idx="3">
                  <c:v>2016</c:v>
                </c:pt>
              </c:strCache>
            </c:strRef>
          </c:cat>
          <c:val>
            <c:numRef>
              <c:f>'pivot table'!$L$5:$L$9</c:f>
              <c:numCache>
                <c:formatCode>General</c:formatCode>
                <c:ptCount val="4"/>
                <c:pt idx="0">
                  <c:v>57</c:v>
                </c:pt>
                <c:pt idx="2">
                  <c:v>57</c:v>
                </c:pt>
              </c:numCache>
            </c:numRef>
          </c:val>
          <c:extLst>
            <c:ext xmlns:c16="http://schemas.microsoft.com/office/drawing/2014/chart" uri="{C3380CC4-5D6E-409C-BE32-E72D297353CC}">
              <c16:uniqueId val="{0000000F-452A-4D8B-B238-1DCC0C12798F}"/>
            </c:ext>
          </c:extLst>
        </c:ser>
        <c:dLbls>
          <c:showLegendKey val="0"/>
          <c:showVal val="0"/>
          <c:showCatName val="0"/>
          <c:showSerName val="0"/>
          <c:showPercent val="0"/>
          <c:showBubbleSize val="0"/>
        </c:dLbls>
        <c:gapWidth val="219"/>
        <c:overlap val="-27"/>
        <c:axId val="1564720320"/>
        <c:axId val="1564721152"/>
      </c:barChart>
      <c:catAx>
        <c:axId val="156472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721152"/>
        <c:crosses val="autoZero"/>
        <c:auto val="1"/>
        <c:lblAlgn val="ctr"/>
        <c:lblOffset val="100"/>
        <c:noMultiLvlLbl val="0"/>
      </c:catAx>
      <c:valAx>
        <c:axId val="156472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7203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EXAM.xlsx]pivot table!PivotTable1</c:name>
    <c:fmtId val="1"/>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
        <c:idx val="9"/>
        <c:spPr>
          <a:ln w="28575" cap="rnd">
            <a:solidFill>
              <a:schemeClr val="accent1"/>
            </a:solidFill>
            <a:round/>
          </a:ln>
          <a:effectLst/>
        </c:spPr>
        <c:marker>
          <c:symbol val="none"/>
        </c:marker>
      </c:pivotFmt>
      <c:pivotFmt>
        <c:idx val="10"/>
        <c:spPr>
          <a:ln w="28575" cap="rnd">
            <a:solidFill>
              <a:schemeClr val="accent1"/>
            </a:solidFill>
            <a:round/>
          </a:ln>
          <a:effectLst/>
        </c:spPr>
        <c:marker>
          <c:symbol val="none"/>
        </c:marker>
      </c:pivotFmt>
    </c:pivotFmts>
    <c:plotArea>
      <c:layout/>
      <c:lineChart>
        <c:grouping val="standard"/>
        <c:varyColors val="0"/>
        <c:ser>
          <c:idx val="0"/>
          <c:order val="0"/>
          <c:tx>
            <c:strRef>
              <c:f>'pivot table'!$B$3:$B$4</c:f>
              <c:strCache>
                <c:ptCount val="1"/>
                <c:pt idx="0">
                  <c:v>January</c:v>
                </c:pt>
              </c:strCache>
            </c:strRef>
          </c:tx>
          <c:spPr>
            <a:ln w="28575" cap="rnd">
              <a:solidFill>
                <a:schemeClr val="accent1"/>
              </a:solidFill>
              <a:round/>
            </a:ln>
            <a:effectLst/>
          </c:spPr>
          <c:marker>
            <c:symbol val="none"/>
          </c:marker>
          <c:cat>
            <c:strRef>
              <c:f>'pivot table'!$A$5:$A$9</c:f>
              <c:strCache>
                <c:ptCount val="4"/>
                <c:pt idx="0">
                  <c:v>2013</c:v>
                </c:pt>
                <c:pt idx="1">
                  <c:v>2014</c:v>
                </c:pt>
                <c:pt idx="2">
                  <c:v>2015</c:v>
                </c:pt>
                <c:pt idx="3">
                  <c:v>2016</c:v>
                </c:pt>
              </c:strCache>
            </c:strRef>
          </c:cat>
          <c:val>
            <c:numRef>
              <c:f>'pivot table'!$B$5:$B$9</c:f>
              <c:numCache>
                <c:formatCode>General</c:formatCode>
                <c:ptCount val="4"/>
                <c:pt idx="1">
                  <c:v>24</c:v>
                </c:pt>
                <c:pt idx="3">
                  <c:v>24</c:v>
                </c:pt>
              </c:numCache>
            </c:numRef>
          </c:val>
          <c:smooth val="0"/>
          <c:extLst>
            <c:ext xmlns:c16="http://schemas.microsoft.com/office/drawing/2014/chart" uri="{C3380CC4-5D6E-409C-BE32-E72D297353CC}">
              <c16:uniqueId val="{00000000-12C9-47BC-9E54-559487C218E1}"/>
            </c:ext>
          </c:extLst>
        </c:ser>
        <c:ser>
          <c:idx val="1"/>
          <c:order val="1"/>
          <c:tx>
            <c:strRef>
              <c:f>'pivot table'!$C$3:$C$4</c:f>
              <c:strCache>
                <c:ptCount val="1"/>
                <c:pt idx="0">
                  <c:v>February</c:v>
                </c:pt>
              </c:strCache>
            </c:strRef>
          </c:tx>
          <c:spPr>
            <a:ln w="28575" cap="rnd">
              <a:solidFill>
                <a:schemeClr val="accent2"/>
              </a:solidFill>
              <a:round/>
            </a:ln>
            <a:effectLst/>
          </c:spPr>
          <c:marker>
            <c:symbol val="none"/>
          </c:marker>
          <c:cat>
            <c:strRef>
              <c:f>'pivot table'!$A$5:$A$9</c:f>
              <c:strCache>
                <c:ptCount val="4"/>
                <c:pt idx="0">
                  <c:v>2013</c:v>
                </c:pt>
                <c:pt idx="1">
                  <c:v>2014</c:v>
                </c:pt>
                <c:pt idx="2">
                  <c:v>2015</c:v>
                </c:pt>
                <c:pt idx="3">
                  <c:v>2016</c:v>
                </c:pt>
              </c:strCache>
            </c:strRef>
          </c:cat>
          <c:val>
            <c:numRef>
              <c:f>'pivot table'!$C$5:$C$9</c:f>
              <c:numCache>
                <c:formatCode>General</c:formatCode>
                <c:ptCount val="4"/>
                <c:pt idx="1">
                  <c:v>38</c:v>
                </c:pt>
                <c:pt idx="3">
                  <c:v>38</c:v>
                </c:pt>
              </c:numCache>
            </c:numRef>
          </c:val>
          <c:smooth val="0"/>
          <c:extLst>
            <c:ext xmlns:c16="http://schemas.microsoft.com/office/drawing/2014/chart" uri="{C3380CC4-5D6E-409C-BE32-E72D297353CC}">
              <c16:uniqueId val="{00000001-12C9-47BC-9E54-559487C218E1}"/>
            </c:ext>
          </c:extLst>
        </c:ser>
        <c:ser>
          <c:idx val="2"/>
          <c:order val="2"/>
          <c:tx>
            <c:strRef>
              <c:f>'pivot table'!$D$3:$D$4</c:f>
              <c:strCache>
                <c:ptCount val="1"/>
                <c:pt idx="0">
                  <c:v>March</c:v>
                </c:pt>
              </c:strCache>
            </c:strRef>
          </c:tx>
          <c:spPr>
            <a:ln w="28575" cap="rnd">
              <a:solidFill>
                <a:schemeClr val="accent3"/>
              </a:solidFill>
              <a:round/>
            </a:ln>
            <a:effectLst/>
          </c:spPr>
          <c:marker>
            <c:symbol val="none"/>
          </c:marker>
          <c:cat>
            <c:strRef>
              <c:f>'pivot table'!$A$5:$A$9</c:f>
              <c:strCache>
                <c:ptCount val="4"/>
                <c:pt idx="0">
                  <c:v>2013</c:v>
                </c:pt>
                <c:pt idx="1">
                  <c:v>2014</c:v>
                </c:pt>
                <c:pt idx="2">
                  <c:v>2015</c:v>
                </c:pt>
                <c:pt idx="3">
                  <c:v>2016</c:v>
                </c:pt>
              </c:strCache>
            </c:strRef>
          </c:cat>
          <c:val>
            <c:numRef>
              <c:f>'pivot table'!$D$5:$D$9</c:f>
              <c:numCache>
                <c:formatCode>General</c:formatCode>
                <c:ptCount val="4"/>
                <c:pt idx="1">
                  <c:v>136</c:v>
                </c:pt>
                <c:pt idx="3">
                  <c:v>136</c:v>
                </c:pt>
              </c:numCache>
            </c:numRef>
          </c:val>
          <c:smooth val="0"/>
          <c:extLst>
            <c:ext xmlns:c16="http://schemas.microsoft.com/office/drawing/2014/chart" uri="{C3380CC4-5D6E-409C-BE32-E72D297353CC}">
              <c16:uniqueId val="{00000002-12C9-47BC-9E54-559487C218E1}"/>
            </c:ext>
          </c:extLst>
        </c:ser>
        <c:ser>
          <c:idx val="3"/>
          <c:order val="3"/>
          <c:tx>
            <c:strRef>
              <c:f>'pivot table'!$E$3:$E$4</c:f>
              <c:strCache>
                <c:ptCount val="1"/>
                <c:pt idx="0">
                  <c:v>May</c:v>
                </c:pt>
              </c:strCache>
            </c:strRef>
          </c:tx>
          <c:spPr>
            <a:ln w="28575" cap="rnd">
              <a:solidFill>
                <a:schemeClr val="accent4"/>
              </a:solidFill>
              <a:round/>
            </a:ln>
            <a:effectLst/>
          </c:spPr>
          <c:marker>
            <c:symbol val="none"/>
          </c:marker>
          <c:cat>
            <c:strRef>
              <c:f>'pivot table'!$A$5:$A$9</c:f>
              <c:strCache>
                <c:ptCount val="4"/>
                <c:pt idx="0">
                  <c:v>2013</c:v>
                </c:pt>
                <c:pt idx="1">
                  <c:v>2014</c:v>
                </c:pt>
                <c:pt idx="2">
                  <c:v>2015</c:v>
                </c:pt>
                <c:pt idx="3">
                  <c:v>2016</c:v>
                </c:pt>
              </c:strCache>
            </c:strRef>
          </c:cat>
          <c:val>
            <c:numRef>
              <c:f>'pivot table'!$E$5:$E$9</c:f>
              <c:numCache>
                <c:formatCode>General</c:formatCode>
                <c:ptCount val="4"/>
                <c:pt idx="1">
                  <c:v>128</c:v>
                </c:pt>
                <c:pt idx="3">
                  <c:v>111</c:v>
                </c:pt>
              </c:numCache>
            </c:numRef>
          </c:val>
          <c:smooth val="0"/>
          <c:extLst>
            <c:ext xmlns:c16="http://schemas.microsoft.com/office/drawing/2014/chart" uri="{C3380CC4-5D6E-409C-BE32-E72D297353CC}">
              <c16:uniqueId val="{00000003-12C9-47BC-9E54-559487C218E1}"/>
            </c:ext>
          </c:extLst>
        </c:ser>
        <c:ser>
          <c:idx val="4"/>
          <c:order val="4"/>
          <c:tx>
            <c:strRef>
              <c:f>'pivot table'!$F$3:$F$4</c:f>
              <c:strCache>
                <c:ptCount val="1"/>
                <c:pt idx="0">
                  <c:v>June</c:v>
                </c:pt>
              </c:strCache>
            </c:strRef>
          </c:tx>
          <c:spPr>
            <a:ln w="28575" cap="rnd">
              <a:solidFill>
                <a:schemeClr val="accent5"/>
              </a:solidFill>
              <a:round/>
            </a:ln>
            <a:effectLst/>
          </c:spPr>
          <c:marker>
            <c:symbol val="none"/>
          </c:marker>
          <c:cat>
            <c:strRef>
              <c:f>'pivot table'!$A$5:$A$9</c:f>
              <c:strCache>
                <c:ptCount val="4"/>
                <c:pt idx="0">
                  <c:v>2013</c:v>
                </c:pt>
                <c:pt idx="1">
                  <c:v>2014</c:v>
                </c:pt>
                <c:pt idx="2">
                  <c:v>2015</c:v>
                </c:pt>
                <c:pt idx="3">
                  <c:v>2016</c:v>
                </c:pt>
              </c:strCache>
            </c:strRef>
          </c:cat>
          <c:val>
            <c:numRef>
              <c:f>'pivot table'!$F$5:$F$9</c:f>
              <c:numCache>
                <c:formatCode>General</c:formatCode>
                <c:ptCount val="4"/>
                <c:pt idx="1">
                  <c:v>47</c:v>
                </c:pt>
                <c:pt idx="3">
                  <c:v>47</c:v>
                </c:pt>
              </c:numCache>
            </c:numRef>
          </c:val>
          <c:smooth val="0"/>
          <c:extLst>
            <c:ext xmlns:c16="http://schemas.microsoft.com/office/drawing/2014/chart" uri="{C3380CC4-5D6E-409C-BE32-E72D297353CC}">
              <c16:uniqueId val="{00000004-12C9-47BC-9E54-559487C218E1}"/>
            </c:ext>
          </c:extLst>
        </c:ser>
        <c:ser>
          <c:idx val="5"/>
          <c:order val="5"/>
          <c:tx>
            <c:strRef>
              <c:f>'pivot table'!$G$3:$G$4</c:f>
              <c:strCache>
                <c:ptCount val="1"/>
                <c:pt idx="0">
                  <c:v>July</c:v>
                </c:pt>
              </c:strCache>
            </c:strRef>
          </c:tx>
          <c:spPr>
            <a:ln w="28575" cap="rnd">
              <a:solidFill>
                <a:schemeClr val="accent6"/>
              </a:solidFill>
              <a:round/>
            </a:ln>
            <a:effectLst/>
          </c:spPr>
          <c:marker>
            <c:symbol val="none"/>
          </c:marker>
          <c:cat>
            <c:strRef>
              <c:f>'pivot table'!$A$5:$A$9</c:f>
              <c:strCache>
                <c:ptCount val="4"/>
                <c:pt idx="0">
                  <c:v>2013</c:v>
                </c:pt>
                <c:pt idx="1">
                  <c:v>2014</c:v>
                </c:pt>
                <c:pt idx="2">
                  <c:v>2015</c:v>
                </c:pt>
                <c:pt idx="3">
                  <c:v>2016</c:v>
                </c:pt>
              </c:strCache>
            </c:strRef>
          </c:cat>
          <c:val>
            <c:numRef>
              <c:f>'pivot table'!$G$5:$G$9</c:f>
              <c:numCache>
                <c:formatCode>General</c:formatCode>
                <c:ptCount val="4"/>
                <c:pt idx="0">
                  <c:v>109</c:v>
                </c:pt>
                <c:pt idx="1">
                  <c:v>10</c:v>
                </c:pt>
                <c:pt idx="2">
                  <c:v>109</c:v>
                </c:pt>
                <c:pt idx="3">
                  <c:v>10</c:v>
                </c:pt>
              </c:numCache>
            </c:numRef>
          </c:val>
          <c:smooth val="0"/>
          <c:extLst>
            <c:ext xmlns:c16="http://schemas.microsoft.com/office/drawing/2014/chart" uri="{C3380CC4-5D6E-409C-BE32-E72D297353CC}">
              <c16:uniqueId val="{00000005-12C9-47BC-9E54-559487C218E1}"/>
            </c:ext>
          </c:extLst>
        </c:ser>
        <c:ser>
          <c:idx val="6"/>
          <c:order val="6"/>
          <c:tx>
            <c:strRef>
              <c:f>'pivot table'!$H$3:$H$4</c:f>
              <c:strCache>
                <c:ptCount val="1"/>
                <c:pt idx="0">
                  <c:v>August</c:v>
                </c:pt>
              </c:strCache>
            </c:strRef>
          </c:tx>
          <c:spPr>
            <a:ln w="28575" cap="rnd">
              <a:solidFill>
                <a:schemeClr val="accent1">
                  <a:lumMod val="60000"/>
                </a:schemeClr>
              </a:solidFill>
              <a:round/>
            </a:ln>
            <a:effectLst/>
          </c:spPr>
          <c:marker>
            <c:symbol val="none"/>
          </c:marker>
          <c:cat>
            <c:strRef>
              <c:f>'pivot table'!$A$5:$A$9</c:f>
              <c:strCache>
                <c:ptCount val="4"/>
                <c:pt idx="0">
                  <c:v>2013</c:v>
                </c:pt>
                <c:pt idx="1">
                  <c:v>2014</c:v>
                </c:pt>
                <c:pt idx="2">
                  <c:v>2015</c:v>
                </c:pt>
                <c:pt idx="3">
                  <c:v>2016</c:v>
                </c:pt>
              </c:strCache>
            </c:strRef>
          </c:cat>
          <c:val>
            <c:numRef>
              <c:f>'pivot table'!$H$5:$H$9</c:f>
              <c:numCache>
                <c:formatCode>General</c:formatCode>
                <c:ptCount val="4"/>
                <c:pt idx="0">
                  <c:v>109</c:v>
                </c:pt>
                <c:pt idx="2">
                  <c:v>79</c:v>
                </c:pt>
              </c:numCache>
            </c:numRef>
          </c:val>
          <c:smooth val="0"/>
          <c:extLst>
            <c:ext xmlns:c16="http://schemas.microsoft.com/office/drawing/2014/chart" uri="{C3380CC4-5D6E-409C-BE32-E72D297353CC}">
              <c16:uniqueId val="{0000000B-12C9-47BC-9E54-559487C218E1}"/>
            </c:ext>
          </c:extLst>
        </c:ser>
        <c:ser>
          <c:idx val="7"/>
          <c:order val="7"/>
          <c:tx>
            <c:strRef>
              <c:f>'pivot table'!$I$3:$I$4</c:f>
              <c:strCache>
                <c:ptCount val="1"/>
                <c:pt idx="0">
                  <c:v>September</c:v>
                </c:pt>
              </c:strCache>
            </c:strRef>
          </c:tx>
          <c:spPr>
            <a:ln w="28575" cap="rnd">
              <a:solidFill>
                <a:schemeClr val="accent2">
                  <a:lumMod val="60000"/>
                </a:schemeClr>
              </a:solidFill>
              <a:round/>
            </a:ln>
            <a:effectLst/>
          </c:spPr>
          <c:marker>
            <c:symbol val="none"/>
          </c:marker>
          <c:cat>
            <c:strRef>
              <c:f>'pivot table'!$A$5:$A$9</c:f>
              <c:strCache>
                <c:ptCount val="4"/>
                <c:pt idx="0">
                  <c:v>2013</c:v>
                </c:pt>
                <c:pt idx="1">
                  <c:v>2014</c:v>
                </c:pt>
                <c:pt idx="2">
                  <c:v>2015</c:v>
                </c:pt>
                <c:pt idx="3">
                  <c:v>2016</c:v>
                </c:pt>
              </c:strCache>
            </c:strRef>
          </c:cat>
          <c:val>
            <c:numRef>
              <c:f>'pivot table'!$I$5:$I$9</c:f>
              <c:numCache>
                <c:formatCode>General</c:formatCode>
                <c:ptCount val="4"/>
                <c:pt idx="0">
                  <c:v>114</c:v>
                </c:pt>
                <c:pt idx="2">
                  <c:v>114</c:v>
                </c:pt>
              </c:numCache>
            </c:numRef>
          </c:val>
          <c:smooth val="0"/>
          <c:extLst>
            <c:ext xmlns:c16="http://schemas.microsoft.com/office/drawing/2014/chart" uri="{C3380CC4-5D6E-409C-BE32-E72D297353CC}">
              <c16:uniqueId val="{0000000C-12C9-47BC-9E54-559487C218E1}"/>
            </c:ext>
          </c:extLst>
        </c:ser>
        <c:ser>
          <c:idx val="8"/>
          <c:order val="8"/>
          <c:tx>
            <c:strRef>
              <c:f>'pivot table'!$J$3:$J$4</c:f>
              <c:strCache>
                <c:ptCount val="1"/>
                <c:pt idx="0">
                  <c:v>October</c:v>
                </c:pt>
              </c:strCache>
            </c:strRef>
          </c:tx>
          <c:spPr>
            <a:ln w="28575" cap="rnd">
              <a:solidFill>
                <a:schemeClr val="accent3">
                  <a:lumMod val="60000"/>
                </a:schemeClr>
              </a:solidFill>
              <a:round/>
            </a:ln>
            <a:effectLst/>
          </c:spPr>
          <c:marker>
            <c:symbol val="none"/>
          </c:marker>
          <c:cat>
            <c:strRef>
              <c:f>'pivot table'!$A$5:$A$9</c:f>
              <c:strCache>
                <c:ptCount val="4"/>
                <c:pt idx="0">
                  <c:v>2013</c:v>
                </c:pt>
                <c:pt idx="1">
                  <c:v>2014</c:v>
                </c:pt>
                <c:pt idx="2">
                  <c:v>2015</c:v>
                </c:pt>
                <c:pt idx="3">
                  <c:v>2016</c:v>
                </c:pt>
              </c:strCache>
            </c:strRef>
          </c:cat>
          <c:val>
            <c:numRef>
              <c:f>'pivot table'!$J$5:$J$9</c:f>
              <c:numCache>
                <c:formatCode>General</c:formatCode>
                <c:ptCount val="4"/>
                <c:pt idx="0">
                  <c:v>25</c:v>
                </c:pt>
              </c:numCache>
            </c:numRef>
          </c:val>
          <c:smooth val="0"/>
          <c:extLst>
            <c:ext xmlns:c16="http://schemas.microsoft.com/office/drawing/2014/chart" uri="{C3380CC4-5D6E-409C-BE32-E72D297353CC}">
              <c16:uniqueId val="{0000000D-12C9-47BC-9E54-559487C218E1}"/>
            </c:ext>
          </c:extLst>
        </c:ser>
        <c:ser>
          <c:idx val="9"/>
          <c:order val="9"/>
          <c:tx>
            <c:strRef>
              <c:f>'pivot table'!$K$3:$K$4</c:f>
              <c:strCache>
                <c:ptCount val="1"/>
                <c:pt idx="0">
                  <c:v>November</c:v>
                </c:pt>
              </c:strCache>
            </c:strRef>
          </c:tx>
          <c:spPr>
            <a:ln w="28575" cap="rnd">
              <a:solidFill>
                <a:schemeClr val="accent4">
                  <a:lumMod val="60000"/>
                </a:schemeClr>
              </a:solidFill>
              <a:round/>
            </a:ln>
            <a:effectLst/>
          </c:spPr>
          <c:marker>
            <c:symbol val="none"/>
          </c:marker>
          <c:cat>
            <c:strRef>
              <c:f>'pivot table'!$A$5:$A$9</c:f>
              <c:strCache>
                <c:ptCount val="4"/>
                <c:pt idx="0">
                  <c:v>2013</c:v>
                </c:pt>
                <c:pt idx="1">
                  <c:v>2014</c:v>
                </c:pt>
                <c:pt idx="2">
                  <c:v>2015</c:v>
                </c:pt>
                <c:pt idx="3">
                  <c:v>2016</c:v>
                </c:pt>
              </c:strCache>
            </c:strRef>
          </c:cat>
          <c:val>
            <c:numRef>
              <c:f>'pivot table'!$K$5:$K$9</c:f>
              <c:numCache>
                <c:formatCode>General</c:formatCode>
                <c:ptCount val="4"/>
                <c:pt idx="0">
                  <c:v>86</c:v>
                </c:pt>
                <c:pt idx="2">
                  <c:v>60</c:v>
                </c:pt>
              </c:numCache>
            </c:numRef>
          </c:val>
          <c:smooth val="0"/>
          <c:extLst>
            <c:ext xmlns:c16="http://schemas.microsoft.com/office/drawing/2014/chart" uri="{C3380CC4-5D6E-409C-BE32-E72D297353CC}">
              <c16:uniqueId val="{0000000E-12C9-47BC-9E54-559487C218E1}"/>
            </c:ext>
          </c:extLst>
        </c:ser>
        <c:ser>
          <c:idx val="10"/>
          <c:order val="10"/>
          <c:tx>
            <c:strRef>
              <c:f>'pivot table'!$L$3:$L$4</c:f>
              <c:strCache>
                <c:ptCount val="1"/>
                <c:pt idx="0">
                  <c:v>December</c:v>
                </c:pt>
              </c:strCache>
            </c:strRef>
          </c:tx>
          <c:spPr>
            <a:ln w="28575" cap="rnd">
              <a:solidFill>
                <a:schemeClr val="accent5">
                  <a:lumMod val="60000"/>
                </a:schemeClr>
              </a:solidFill>
              <a:round/>
            </a:ln>
            <a:effectLst/>
          </c:spPr>
          <c:marker>
            <c:symbol val="none"/>
          </c:marker>
          <c:cat>
            <c:strRef>
              <c:f>'pivot table'!$A$5:$A$9</c:f>
              <c:strCache>
                <c:ptCount val="4"/>
                <c:pt idx="0">
                  <c:v>2013</c:v>
                </c:pt>
                <c:pt idx="1">
                  <c:v>2014</c:v>
                </c:pt>
                <c:pt idx="2">
                  <c:v>2015</c:v>
                </c:pt>
                <c:pt idx="3">
                  <c:v>2016</c:v>
                </c:pt>
              </c:strCache>
            </c:strRef>
          </c:cat>
          <c:val>
            <c:numRef>
              <c:f>'pivot table'!$L$5:$L$9</c:f>
              <c:numCache>
                <c:formatCode>General</c:formatCode>
                <c:ptCount val="4"/>
                <c:pt idx="0">
                  <c:v>57</c:v>
                </c:pt>
                <c:pt idx="2">
                  <c:v>57</c:v>
                </c:pt>
              </c:numCache>
            </c:numRef>
          </c:val>
          <c:smooth val="0"/>
          <c:extLst>
            <c:ext xmlns:c16="http://schemas.microsoft.com/office/drawing/2014/chart" uri="{C3380CC4-5D6E-409C-BE32-E72D297353CC}">
              <c16:uniqueId val="{0000000F-12C9-47BC-9E54-559487C218E1}"/>
            </c:ext>
          </c:extLst>
        </c:ser>
        <c:dLbls>
          <c:showLegendKey val="0"/>
          <c:showVal val="0"/>
          <c:showCatName val="0"/>
          <c:showSerName val="0"/>
          <c:showPercent val="0"/>
          <c:showBubbleSize val="0"/>
        </c:dLbls>
        <c:smooth val="0"/>
        <c:axId val="1566414848"/>
        <c:axId val="1566417760"/>
      </c:lineChart>
      <c:catAx>
        <c:axId val="156641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417760"/>
        <c:crosses val="autoZero"/>
        <c:auto val="1"/>
        <c:lblAlgn val="ctr"/>
        <c:lblOffset val="100"/>
        <c:noMultiLvlLbl val="0"/>
      </c:catAx>
      <c:valAx>
        <c:axId val="1566417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4148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00B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EXAM.xlsx]pivot table!PivotTable1</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s>
    <c:plotArea>
      <c:layout/>
      <c:barChart>
        <c:barDir val="bar"/>
        <c:grouping val="clustered"/>
        <c:varyColors val="0"/>
        <c:ser>
          <c:idx val="0"/>
          <c:order val="0"/>
          <c:tx>
            <c:strRef>
              <c:f>'pivot table'!$B$3:$B$4</c:f>
              <c:strCache>
                <c:ptCount val="1"/>
                <c:pt idx="0">
                  <c:v>January</c:v>
                </c:pt>
              </c:strCache>
            </c:strRef>
          </c:tx>
          <c:spPr>
            <a:solidFill>
              <a:schemeClr val="accent1"/>
            </a:solidFill>
            <a:ln>
              <a:noFill/>
            </a:ln>
            <a:effectLst/>
          </c:spPr>
          <c:invertIfNegative val="0"/>
          <c:cat>
            <c:strRef>
              <c:f>'pivot table'!$A$5:$A$9</c:f>
              <c:strCache>
                <c:ptCount val="4"/>
                <c:pt idx="0">
                  <c:v>2013</c:v>
                </c:pt>
                <c:pt idx="1">
                  <c:v>2014</c:v>
                </c:pt>
                <c:pt idx="2">
                  <c:v>2015</c:v>
                </c:pt>
                <c:pt idx="3">
                  <c:v>2016</c:v>
                </c:pt>
              </c:strCache>
            </c:strRef>
          </c:cat>
          <c:val>
            <c:numRef>
              <c:f>'pivot table'!$B$5:$B$9</c:f>
              <c:numCache>
                <c:formatCode>General</c:formatCode>
                <c:ptCount val="4"/>
                <c:pt idx="1">
                  <c:v>24</c:v>
                </c:pt>
                <c:pt idx="3">
                  <c:v>24</c:v>
                </c:pt>
              </c:numCache>
            </c:numRef>
          </c:val>
          <c:extLst>
            <c:ext xmlns:c16="http://schemas.microsoft.com/office/drawing/2014/chart" uri="{C3380CC4-5D6E-409C-BE32-E72D297353CC}">
              <c16:uniqueId val="{00000000-8518-4B7F-9FCF-0393D7E20AEC}"/>
            </c:ext>
          </c:extLst>
        </c:ser>
        <c:ser>
          <c:idx val="1"/>
          <c:order val="1"/>
          <c:tx>
            <c:strRef>
              <c:f>'pivot table'!$C$3:$C$4</c:f>
              <c:strCache>
                <c:ptCount val="1"/>
                <c:pt idx="0">
                  <c:v>February</c:v>
                </c:pt>
              </c:strCache>
            </c:strRef>
          </c:tx>
          <c:spPr>
            <a:solidFill>
              <a:schemeClr val="accent2"/>
            </a:solidFill>
            <a:ln>
              <a:noFill/>
            </a:ln>
            <a:effectLst/>
          </c:spPr>
          <c:invertIfNegative val="0"/>
          <c:cat>
            <c:strRef>
              <c:f>'pivot table'!$A$5:$A$9</c:f>
              <c:strCache>
                <c:ptCount val="4"/>
                <c:pt idx="0">
                  <c:v>2013</c:v>
                </c:pt>
                <c:pt idx="1">
                  <c:v>2014</c:v>
                </c:pt>
                <c:pt idx="2">
                  <c:v>2015</c:v>
                </c:pt>
                <c:pt idx="3">
                  <c:v>2016</c:v>
                </c:pt>
              </c:strCache>
            </c:strRef>
          </c:cat>
          <c:val>
            <c:numRef>
              <c:f>'pivot table'!$C$5:$C$9</c:f>
              <c:numCache>
                <c:formatCode>General</c:formatCode>
                <c:ptCount val="4"/>
                <c:pt idx="1">
                  <c:v>38</c:v>
                </c:pt>
                <c:pt idx="3">
                  <c:v>38</c:v>
                </c:pt>
              </c:numCache>
            </c:numRef>
          </c:val>
          <c:extLst>
            <c:ext xmlns:c16="http://schemas.microsoft.com/office/drawing/2014/chart" uri="{C3380CC4-5D6E-409C-BE32-E72D297353CC}">
              <c16:uniqueId val="{00000001-8518-4B7F-9FCF-0393D7E20AEC}"/>
            </c:ext>
          </c:extLst>
        </c:ser>
        <c:ser>
          <c:idx val="2"/>
          <c:order val="2"/>
          <c:tx>
            <c:strRef>
              <c:f>'pivot table'!$D$3:$D$4</c:f>
              <c:strCache>
                <c:ptCount val="1"/>
                <c:pt idx="0">
                  <c:v>March</c:v>
                </c:pt>
              </c:strCache>
            </c:strRef>
          </c:tx>
          <c:spPr>
            <a:solidFill>
              <a:schemeClr val="accent3"/>
            </a:solidFill>
            <a:ln>
              <a:noFill/>
            </a:ln>
            <a:effectLst/>
          </c:spPr>
          <c:invertIfNegative val="0"/>
          <c:cat>
            <c:strRef>
              <c:f>'pivot table'!$A$5:$A$9</c:f>
              <c:strCache>
                <c:ptCount val="4"/>
                <c:pt idx="0">
                  <c:v>2013</c:v>
                </c:pt>
                <c:pt idx="1">
                  <c:v>2014</c:v>
                </c:pt>
                <c:pt idx="2">
                  <c:v>2015</c:v>
                </c:pt>
                <c:pt idx="3">
                  <c:v>2016</c:v>
                </c:pt>
              </c:strCache>
            </c:strRef>
          </c:cat>
          <c:val>
            <c:numRef>
              <c:f>'pivot table'!$D$5:$D$9</c:f>
              <c:numCache>
                <c:formatCode>General</c:formatCode>
                <c:ptCount val="4"/>
                <c:pt idx="1">
                  <c:v>136</c:v>
                </c:pt>
                <c:pt idx="3">
                  <c:v>136</c:v>
                </c:pt>
              </c:numCache>
            </c:numRef>
          </c:val>
          <c:extLst>
            <c:ext xmlns:c16="http://schemas.microsoft.com/office/drawing/2014/chart" uri="{C3380CC4-5D6E-409C-BE32-E72D297353CC}">
              <c16:uniqueId val="{00000002-8518-4B7F-9FCF-0393D7E20AEC}"/>
            </c:ext>
          </c:extLst>
        </c:ser>
        <c:ser>
          <c:idx val="3"/>
          <c:order val="3"/>
          <c:tx>
            <c:strRef>
              <c:f>'pivot table'!$E$3:$E$4</c:f>
              <c:strCache>
                <c:ptCount val="1"/>
                <c:pt idx="0">
                  <c:v>May</c:v>
                </c:pt>
              </c:strCache>
            </c:strRef>
          </c:tx>
          <c:spPr>
            <a:solidFill>
              <a:schemeClr val="accent4"/>
            </a:solidFill>
            <a:ln>
              <a:noFill/>
            </a:ln>
            <a:effectLst/>
          </c:spPr>
          <c:invertIfNegative val="0"/>
          <c:cat>
            <c:strRef>
              <c:f>'pivot table'!$A$5:$A$9</c:f>
              <c:strCache>
                <c:ptCount val="4"/>
                <c:pt idx="0">
                  <c:v>2013</c:v>
                </c:pt>
                <c:pt idx="1">
                  <c:v>2014</c:v>
                </c:pt>
                <c:pt idx="2">
                  <c:v>2015</c:v>
                </c:pt>
                <c:pt idx="3">
                  <c:v>2016</c:v>
                </c:pt>
              </c:strCache>
            </c:strRef>
          </c:cat>
          <c:val>
            <c:numRef>
              <c:f>'pivot table'!$E$5:$E$9</c:f>
              <c:numCache>
                <c:formatCode>General</c:formatCode>
                <c:ptCount val="4"/>
                <c:pt idx="1">
                  <c:v>128</c:v>
                </c:pt>
                <c:pt idx="3">
                  <c:v>111</c:v>
                </c:pt>
              </c:numCache>
            </c:numRef>
          </c:val>
          <c:extLst>
            <c:ext xmlns:c16="http://schemas.microsoft.com/office/drawing/2014/chart" uri="{C3380CC4-5D6E-409C-BE32-E72D297353CC}">
              <c16:uniqueId val="{00000003-8518-4B7F-9FCF-0393D7E20AEC}"/>
            </c:ext>
          </c:extLst>
        </c:ser>
        <c:ser>
          <c:idx val="4"/>
          <c:order val="4"/>
          <c:tx>
            <c:strRef>
              <c:f>'pivot table'!$F$3:$F$4</c:f>
              <c:strCache>
                <c:ptCount val="1"/>
                <c:pt idx="0">
                  <c:v>June</c:v>
                </c:pt>
              </c:strCache>
            </c:strRef>
          </c:tx>
          <c:spPr>
            <a:solidFill>
              <a:schemeClr val="accent5"/>
            </a:solidFill>
            <a:ln>
              <a:noFill/>
            </a:ln>
            <a:effectLst/>
          </c:spPr>
          <c:invertIfNegative val="0"/>
          <c:cat>
            <c:strRef>
              <c:f>'pivot table'!$A$5:$A$9</c:f>
              <c:strCache>
                <c:ptCount val="4"/>
                <c:pt idx="0">
                  <c:v>2013</c:v>
                </c:pt>
                <c:pt idx="1">
                  <c:v>2014</c:v>
                </c:pt>
                <c:pt idx="2">
                  <c:v>2015</c:v>
                </c:pt>
                <c:pt idx="3">
                  <c:v>2016</c:v>
                </c:pt>
              </c:strCache>
            </c:strRef>
          </c:cat>
          <c:val>
            <c:numRef>
              <c:f>'pivot table'!$F$5:$F$9</c:f>
              <c:numCache>
                <c:formatCode>General</c:formatCode>
                <c:ptCount val="4"/>
                <c:pt idx="1">
                  <c:v>47</c:v>
                </c:pt>
                <c:pt idx="3">
                  <c:v>47</c:v>
                </c:pt>
              </c:numCache>
            </c:numRef>
          </c:val>
          <c:extLst>
            <c:ext xmlns:c16="http://schemas.microsoft.com/office/drawing/2014/chart" uri="{C3380CC4-5D6E-409C-BE32-E72D297353CC}">
              <c16:uniqueId val="{00000004-8518-4B7F-9FCF-0393D7E20AEC}"/>
            </c:ext>
          </c:extLst>
        </c:ser>
        <c:ser>
          <c:idx val="5"/>
          <c:order val="5"/>
          <c:tx>
            <c:strRef>
              <c:f>'pivot table'!$G$3:$G$4</c:f>
              <c:strCache>
                <c:ptCount val="1"/>
                <c:pt idx="0">
                  <c:v>July</c:v>
                </c:pt>
              </c:strCache>
            </c:strRef>
          </c:tx>
          <c:spPr>
            <a:solidFill>
              <a:schemeClr val="accent6"/>
            </a:solidFill>
            <a:ln>
              <a:noFill/>
            </a:ln>
            <a:effectLst/>
          </c:spPr>
          <c:invertIfNegative val="0"/>
          <c:cat>
            <c:strRef>
              <c:f>'pivot table'!$A$5:$A$9</c:f>
              <c:strCache>
                <c:ptCount val="4"/>
                <c:pt idx="0">
                  <c:v>2013</c:v>
                </c:pt>
                <c:pt idx="1">
                  <c:v>2014</c:v>
                </c:pt>
                <c:pt idx="2">
                  <c:v>2015</c:v>
                </c:pt>
                <c:pt idx="3">
                  <c:v>2016</c:v>
                </c:pt>
              </c:strCache>
            </c:strRef>
          </c:cat>
          <c:val>
            <c:numRef>
              <c:f>'pivot table'!$G$5:$G$9</c:f>
              <c:numCache>
                <c:formatCode>General</c:formatCode>
                <c:ptCount val="4"/>
                <c:pt idx="0">
                  <c:v>109</c:v>
                </c:pt>
                <c:pt idx="1">
                  <c:v>10</c:v>
                </c:pt>
                <c:pt idx="2">
                  <c:v>109</c:v>
                </c:pt>
                <c:pt idx="3">
                  <c:v>10</c:v>
                </c:pt>
              </c:numCache>
            </c:numRef>
          </c:val>
          <c:extLst>
            <c:ext xmlns:c16="http://schemas.microsoft.com/office/drawing/2014/chart" uri="{C3380CC4-5D6E-409C-BE32-E72D297353CC}">
              <c16:uniqueId val="{00000005-8518-4B7F-9FCF-0393D7E20AEC}"/>
            </c:ext>
          </c:extLst>
        </c:ser>
        <c:ser>
          <c:idx val="6"/>
          <c:order val="6"/>
          <c:tx>
            <c:strRef>
              <c:f>'pivot table'!$H$3:$H$4</c:f>
              <c:strCache>
                <c:ptCount val="1"/>
                <c:pt idx="0">
                  <c:v>August</c:v>
                </c:pt>
              </c:strCache>
            </c:strRef>
          </c:tx>
          <c:spPr>
            <a:solidFill>
              <a:schemeClr val="accent1">
                <a:lumMod val="60000"/>
              </a:schemeClr>
            </a:solidFill>
            <a:ln>
              <a:noFill/>
            </a:ln>
            <a:effectLst/>
          </c:spPr>
          <c:invertIfNegative val="0"/>
          <c:cat>
            <c:strRef>
              <c:f>'pivot table'!$A$5:$A$9</c:f>
              <c:strCache>
                <c:ptCount val="4"/>
                <c:pt idx="0">
                  <c:v>2013</c:v>
                </c:pt>
                <c:pt idx="1">
                  <c:v>2014</c:v>
                </c:pt>
                <c:pt idx="2">
                  <c:v>2015</c:v>
                </c:pt>
                <c:pt idx="3">
                  <c:v>2016</c:v>
                </c:pt>
              </c:strCache>
            </c:strRef>
          </c:cat>
          <c:val>
            <c:numRef>
              <c:f>'pivot table'!$H$5:$H$9</c:f>
              <c:numCache>
                <c:formatCode>General</c:formatCode>
                <c:ptCount val="4"/>
                <c:pt idx="0">
                  <c:v>109</c:v>
                </c:pt>
                <c:pt idx="2">
                  <c:v>79</c:v>
                </c:pt>
              </c:numCache>
            </c:numRef>
          </c:val>
          <c:extLst>
            <c:ext xmlns:c16="http://schemas.microsoft.com/office/drawing/2014/chart" uri="{C3380CC4-5D6E-409C-BE32-E72D297353CC}">
              <c16:uniqueId val="{0000000B-8518-4B7F-9FCF-0393D7E20AEC}"/>
            </c:ext>
          </c:extLst>
        </c:ser>
        <c:ser>
          <c:idx val="7"/>
          <c:order val="7"/>
          <c:tx>
            <c:strRef>
              <c:f>'pivot table'!$I$3:$I$4</c:f>
              <c:strCache>
                <c:ptCount val="1"/>
                <c:pt idx="0">
                  <c:v>September</c:v>
                </c:pt>
              </c:strCache>
            </c:strRef>
          </c:tx>
          <c:spPr>
            <a:solidFill>
              <a:schemeClr val="accent2">
                <a:lumMod val="60000"/>
              </a:schemeClr>
            </a:solidFill>
            <a:ln>
              <a:noFill/>
            </a:ln>
            <a:effectLst/>
          </c:spPr>
          <c:invertIfNegative val="0"/>
          <c:cat>
            <c:strRef>
              <c:f>'pivot table'!$A$5:$A$9</c:f>
              <c:strCache>
                <c:ptCount val="4"/>
                <c:pt idx="0">
                  <c:v>2013</c:v>
                </c:pt>
                <c:pt idx="1">
                  <c:v>2014</c:v>
                </c:pt>
                <c:pt idx="2">
                  <c:v>2015</c:v>
                </c:pt>
                <c:pt idx="3">
                  <c:v>2016</c:v>
                </c:pt>
              </c:strCache>
            </c:strRef>
          </c:cat>
          <c:val>
            <c:numRef>
              <c:f>'pivot table'!$I$5:$I$9</c:f>
              <c:numCache>
                <c:formatCode>General</c:formatCode>
                <c:ptCount val="4"/>
                <c:pt idx="0">
                  <c:v>114</c:v>
                </c:pt>
                <c:pt idx="2">
                  <c:v>114</c:v>
                </c:pt>
              </c:numCache>
            </c:numRef>
          </c:val>
          <c:extLst>
            <c:ext xmlns:c16="http://schemas.microsoft.com/office/drawing/2014/chart" uri="{C3380CC4-5D6E-409C-BE32-E72D297353CC}">
              <c16:uniqueId val="{0000000C-8518-4B7F-9FCF-0393D7E20AEC}"/>
            </c:ext>
          </c:extLst>
        </c:ser>
        <c:ser>
          <c:idx val="8"/>
          <c:order val="8"/>
          <c:tx>
            <c:strRef>
              <c:f>'pivot table'!$J$3:$J$4</c:f>
              <c:strCache>
                <c:ptCount val="1"/>
                <c:pt idx="0">
                  <c:v>October</c:v>
                </c:pt>
              </c:strCache>
            </c:strRef>
          </c:tx>
          <c:spPr>
            <a:solidFill>
              <a:schemeClr val="accent3">
                <a:lumMod val="60000"/>
              </a:schemeClr>
            </a:solidFill>
            <a:ln>
              <a:noFill/>
            </a:ln>
            <a:effectLst/>
          </c:spPr>
          <c:invertIfNegative val="0"/>
          <c:cat>
            <c:strRef>
              <c:f>'pivot table'!$A$5:$A$9</c:f>
              <c:strCache>
                <c:ptCount val="4"/>
                <c:pt idx="0">
                  <c:v>2013</c:v>
                </c:pt>
                <c:pt idx="1">
                  <c:v>2014</c:v>
                </c:pt>
                <c:pt idx="2">
                  <c:v>2015</c:v>
                </c:pt>
                <c:pt idx="3">
                  <c:v>2016</c:v>
                </c:pt>
              </c:strCache>
            </c:strRef>
          </c:cat>
          <c:val>
            <c:numRef>
              <c:f>'pivot table'!$J$5:$J$9</c:f>
              <c:numCache>
                <c:formatCode>General</c:formatCode>
                <c:ptCount val="4"/>
                <c:pt idx="0">
                  <c:v>25</c:v>
                </c:pt>
              </c:numCache>
            </c:numRef>
          </c:val>
          <c:extLst>
            <c:ext xmlns:c16="http://schemas.microsoft.com/office/drawing/2014/chart" uri="{C3380CC4-5D6E-409C-BE32-E72D297353CC}">
              <c16:uniqueId val="{0000000D-8518-4B7F-9FCF-0393D7E20AEC}"/>
            </c:ext>
          </c:extLst>
        </c:ser>
        <c:ser>
          <c:idx val="9"/>
          <c:order val="9"/>
          <c:tx>
            <c:strRef>
              <c:f>'pivot table'!$K$3:$K$4</c:f>
              <c:strCache>
                <c:ptCount val="1"/>
                <c:pt idx="0">
                  <c:v>November</c:v>
                </c:pt>
              </c:strCache>
            </c:strRef>
          </c:tx>
          <c:spPr>
            <a:solidFill>
              <a:schemeClr val="accent4">
                <a:lumMod val="60000"/>
              </a:schemeClr>
            </a:solidFill>
            <a:ln>
              <a:noFill/>
            </a:ln>
            <a:effectLst/>
          </c:spPr>
          <c:invertIfNegative val="0"/>
          <c:cat>
            <c:strRef>
              <c:f>'pivot table'!$A$5:$A$9</c:f>
              <c:strCache>
                <c:ptCount val="4"/>
                <c:pt idx="0">
                  <c:v>2013</c:v>
                </c:pt>
                <c:pt idx="1">
                  <c:v>2014</c:v>
                </c:pt>
                <c:pt idx="2">
                  <c:v>2015</c:v>
                </c:pt>
                <c:pt idx="3">
                  <c:v>2016</c:v>
                </c:pt>
              </c:strCache>
            </c:strRef>
          </c:cat>
          <c:val>
            <c:numRef>
              <c:f>'pivot table'!$K$5:$K$9</c:f>
              <c:numCache>
                <c:formatCode>General</c:formatCode>
                <c:ptCount val="4"/>
                <c:pt idx="0">
                  <c:v>86</c:v>
                </c:pt>
                <c:pt idx="2">
                  <c:v>60</c:v>
                </c:pt>
              </c:numCache>
            </c:numRef>
          </c:val>
          <c:extLst>
            <c:ext xmlns:c16="http://schemas.microsoft.com/office/drawing/2014/chart" uri="{C3380CC4-5D6E-409C-BE32-E72D297353CC}">
              <c16:uniqueId val="{0000000E-8518-4B7F-9FCF-0393D7E20AEC}"/>
            </c:ext>
          </c:extLst>
        </c:ser>
        <c:ser>
          <c:idx val="10"/>
          <c:order val="10"/>
          <c:tx>
            <c:strRef>
              <c:f>'pivot table'!$L$3:$L$4</c:f>
              <c:strCache>
                <c:ptCount val="1"/>
                <c:pt idx="0">
                  <c:v>December</c:v>
                </c:pt>
              </c:strCache>
            </c:strRef>
          </c:tx>
          <c:spPr>
            <a:solidFill>
              <a:schemeClr val="accent5">
                <a:lumMod val="60000"/>
              </a:schemeClr>
            </a:solidFill>
            <a:ln>
              <a:noFill/>
            </a:ln>
            <a:effectLst/>
          </c:spPr>
          <c:invertIfNegative val="0"/>
          <c:cat>
            <c:strRef>
              <c:f>'pivot table'!$A$5:$A$9</c:f>
              <c:strCache>
                <c:ptCount val="4"/>
                <c:pt idx="0">
                  <c:v>2013</c:v>
                </c:pt>
                <c:pt idx="1">
                  <c:v>2014</c:v>
                </c:pt>
                <c:pt idx="2">
                  <c:v>2015</c:v>
                </c:pt>
                <c:pt idx="3">
                  <c:v>2016</c:v>
                </c:pt>
              </c:strCache>
            </c:strRef>
          </c:cat>
          <c:val>
            <c:numRef>
              <c:f>'pivot table'!$L$5:$L$9</c:f>
              <c:numCache>
                <c:formatCode>General</c:formatCode>
                <c:ptCount val="4"/>
                <c:pt idx="0">
                  <c:v>57</c:v>
                </c:pt>
                <c:pt idx="2">
                  <c:v>57</c:v>
                </c:pt>
              </c:numCache>
            </c:numRef>
          </c:val>
          <c:extLst>
            <c:ext xmlns:c16="http://schemas.microsoft.com/office/drawing/2014/chart" uri="{C3380CC4-5D6E-409C-BE32-E72D297353CC}">
              <c16:uniqueId val="{0000000F-8518-4B7F-9FCF-0393D7E20AEC}"/>
            </c:ext>
          </c:extLst>
        </c:ser>
        <c:dLbls>
          <c:showLegendKey val="0"/>
          <c:showVal val="0"/>
          <c:showCatName val="0"/>
          <c:showSerName val="0"/>
          <c:showPercent val="0"/>
          <c:showBubbleSize val="0"/>
        </c:dLbls>
        <c:gapWidth val="182"/>
        <c:axId val="1568938064"/>
        <c:axId val="1568940560"/>
      </c:barChart>
      <c:catAx>
        <c:axId val="1568938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940560"/>
        <c:crosses val="autoZero"/>
        <c:auto val="1"/>
        <c:lblAlgn val="ctr"/>
        <c:lblOffset val="100"/>
        <c:noMultiLvlLbl val="0"/>
      </c:catAx>
      <c:valAx>
        <c:axId val="1568940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9380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EXAM.xlsx]pivot table!PivotTable1</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marker>
          <c:symbol val="none"/>
        </c:marker>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marker>
          <c:symbol val="none"/>
        </c:marker>
      </c:pivotFmt>
    </c:pivotFmts>
    <c:plotArea>
      <c:layout/>
      <c:pieChart>
        <c:varyColors val="1"/>
        <c:ser>
          <c:idx val="0"/>
          <c:order val="0"/>
          <c:tx>
            <c:strRef>
              <c:f>'pivot table'!$B$3:$B$4</c:f>
              <c:strCache>
                <c:ptCount val="1"/>
                <c:pt idx="0">
                  <c:v>January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 table'!$A$5:$A$9</c:f>
              <c:strCache>
                <c:ptCount val="4"/>
                <c:pt idx="0">
                  <c:v>2013</c:v>
                </c:pt>
                <c:pt idx="1">
                  <c:v>2014</c:v>
                </c:pt>
                <c:pt idx="2">
                  <c:v>2015</c:v>
                </c:pt>
                <c:pt idx="3">
                  <c:v>2016</c:v>
                </c:pt>
              </c:strCache>
            </c:strRef>
          </c:cat>
          <c:val>
            <c:numRef>
              <c:f>'pivot table'!$B$5:$B$9</c:f>
              <c:numCache>
                <c:formatCode>General</c:formatCode>
                <c:ptCount val="4"/>
                <c:pt idx="1">
                  <c:v>24</c:v>
                </c:pt>
                <c:pt idx="3">
                  <c:v>24</c:v>
                </c:pt>
              </c:numCache>
            </c:numRef>
          </c:val>
          <c:extLst>
            <c:ext xmlns:c16="http://schemas.microsoft.com/office/drawing/2014/chart" uri="{C3380CC4-5D6E-409C-BE32-E72D297353CC}">
              <c16:uniqueId val="{00000000-1869-44EC-AD21-028673DA9F90}"/>
            </c:ext>
          </c:extLst>
        </c:ser>
        <c:ser>
          <c:idx val="1"/>
          <c:order val="1"/>
          <c:tx>
            <c:strRef>
              <c:f>'pivot table'!$C$3:$C$4</c:f>
              <c:strCache>
                <c:ptCount val="1"/>
                <c:pt idx="0">
                  <c:v>February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 table'!$A$5:$A$9</c:f>
              <c:strCache>
                <c:ptCount val="4"/>
                <c:pt idx="0">
                  <c:v>2013</c:v>
                </c:pt>
                <c:pt idx="1">
                  <c:v>2014</c:v>
                </c:pt>
                <c:pt idx="2">
                  <c:v>2015</c:v>
                </c:pt>
                <c:pt idx="3">
                  <c:v>2016</c:v>
                </c:pt>
              </c:strCache>
            </c:strRef>
          </c:cat>
          <c:val>
            <c:numRef>
              <c:f>'pivot table'!$C$5:$C$9</c:f>
              <c:numCache>
                <c:formatCode>General</c:formatCode>
                <c:ptCount val="4"/>
                <c:pt idx="1">
                  <c:v>38</c:v>
                </c:pt>
                <c:pt idx="3">
                  <c:v>38</c:v>
                </c:pt>
              </c:numCache>
            </c:numRef>
          </c:val>
          <c:extLst>
            <c:ext xmlns:c16="http://schemas.microsoft.com/office/drawing/2014/chart" uri="{C3380CC4-5D6E-409C-BE32-E72D297353CC}">
              <c16:uniqueId val="{00000001-1869-44EC-AD21-028673DA9F90}"/>
            </c:ext>
          </c:extLst>
        </c:ser>
        <c:ser>
          <c:idx val="2"/>
          <c:order val="2"/>
          <c:tx>
            <c:strRef>
              <c:f>'pivot table'!$D$3:$D$4</c:f>
              <c:strCache>
                <c:ptCount val="1"/>
                <c:pt idx="0">
                  <c:v>March</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 table'!$A$5:$A$9</c:f>
              <c:strCache>
                <c:ptCount val="4"/>
                <c:pt idx="0">
                  <c:v>2013</c:v>
                </c:pt>
                <c:pt idx="1">
                  <c:v>2014</c:v>
                </c:pt>
                <c:pt idx="2">
                  <c:v>2015</c:v>
                </c:pt>
                <c:pt idx="3">
                  <c:v>2016</c:v>
                </c:pt>
              </c:strCache>
            </c:strRef>
          </c:cat>
          <c:val>
            <c:numRef>
              <c:f>'pivot table'!$D$5:$D$9</c:f>
              <c:numCache>
                <c:formatCode>General</c:formatCode>
                <c:ptCount val="4"/>
                <c:pt idx="1">
                  <c:v>136</c:v>
                </c:pt>
                <c:pt idx="3">
                  <c:v>136</c:v>
                </c:pt>
              </c:numCache>
            </c:numRef>
          </c:val>
          <c:extLst>
            <c:ext xmlns:c16="http://schemas.microsoft.com/office/drawing/2014/chart" uri="{C3380CC4-5D6E-409C-BE32-E72D297353CC}">
              <c16:uniqueId val="{00000002-1869-44EC-AD21-028673DA9F90}"/>
            </c:ext>
          </c:extLst>
        </c:ser>
        <c:ser>
          <c:idx val="3"/>
          <c:order val="3"/>
          <c:tx>
            <c:strRef>
              <c:f>'pivot table'!$E$3:$E$4</c:f>
              <c:strCache>
                <c:ptCount val="1"/>
                <c:pt idx="0">
                  <c:v>May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 table'!$A$5:$A$9</c:f>
              <c:strCache>
                <c:ptCount val="4"/>
                <c:pt idx="0">
                  <c:v>2013</c:v>
                </c:pt>
                <c:pt idx="1">
                  <c:v>2014</c:v>
                </c:pt>
                <c:pt idx="2">
                  <c:v>2015</c:v>
                </c:pt>
                <c:pt idx="3">
                  <c:v>2016</c:v>
                </c:pt>
              </c:strCache>
            </c:strRef>
          </c:cat>
          <c:val>
            <c:numRef>
              <c:f>'pivot table'!$E$5:$E$9</c:f>
              <c:numCache>
                <c:formatCode>General</c:formatCode>
                <c:ptCount val="4"/>
                <c:pt idx="1">
                  <c:v>128</c:v>
                </c:pt>
                <c:pt idx="3">
                  <c:v>111</c:v>
                </c:pt>
              </c:numCache>
            </c:numRef>
          </c:val>
          <c:extLst>
            <c:ext xmlns:c16="http://schemas.microsoft.com/office/drawing/2014/chart" uri="{C3380CC4-5D6E-409C-BE32-E72D297353CC}">
              <c16:uniqueId val="{00000003-1869-44EC-AD21-028673DA9F90}"/>
            </c:ext>
          </c:extLst>
        </c:ser>
        <c:ser>
          <c:idx val="4"/>
          <c:order val="4"/>
          <c:tx>
            <c:strRef>
              <c:f>'pivot table'!$F$3:$F$4</c:f>
              <c:strCache>
                <c:ptCount val="1"/>
                <c:pt idx="0">
                  <c:v>June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 table'!$A$5:$A$9</c:f>
              <c:strCache>
                <c:ptCount val="4"/>
                <c:pt idx="0">
                  <c:v>2013</c:v>
                </c:pt>
                <c:pt idx="1">
                  <c:v>2014</c:v>
                </c:pt>
                <c:pt idx="2">
                  <c:v>2015</c:v>
                </c:pt>
                <c:pt idx="3">
                  <c:v>2016</c:v>
                </c:pt>
              </c:strCache>
            </c:strRef>
          </c:cat>
          <c:val>
            <c:numRef>
              <c:f>'pivot table'!$F$5:$F$9</c:f>
              <c:numCache>
                <c:formatCode>General</c:formatCode>
                <c:ptCount val="4"/>
                <c:pt idx="1">
                  <c:v>47</c:v>
                </c:pt>
                <c:pt idx="3">
                  <c:v>47</c:v>
                </c:pt>
              </c:numCache>
            </c:numRef>
          </c:val>
          <c:extLst>
            <c:ext xmlns:c16="http://schemas.microsoft.com/office/drawing/2014/chart" uri="{C3380CC4-5D6E-409C-BE32-E72D297353CC}">
              <c16:uniqueId val="{00000004-1869-44EC-AD21-028673DA9F90}"/>
            </c:ext>
          </c:extLst>
        </c:ser>
        <c:ser>
          <c:idx val="5"/>
          <c:order val="5"/>
          <c:tx>
            <c:strRef>
              <c:f>'pivot table'!$G$3:$G$4</c:f>
              <c:strCache>
                <c:ptCount val="1"/>
                <c:pt idx="0">
                  <c:v>July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 table'!$A$5:$A$9</c:f>
              <c:strCache>
                <c:ptCount val="4"/>
                <c:pt idx="0">
                  <c:v>2013</c:v>
                </c:pt>
                <c:pt idx="1">
                  <c:v>2014</c:v>
                </c:pt>
                <c:pt idx="2">
                  <c:v>2015</c:v>
                </c:pt>
                <c:pt idx="3">
                  <c:v>2016</c:v>
                </c:pt>
              </c:strCache>
            </c:strRef>
          </c:cat>
          <c:val>
            <c:numRef>
              <c:f>'pivot table'!$G$5:$G$9</c:f>
              <c:numCache>
                <c:formatCode>General</c:formatCode>
                <c:ptCount val="4"/>
                <c:pt idx="0">
                  <c:v>109</c:v>
                </c:pt>
                <c:pt idx="1">
                  <c:v>10</c:v>
                </c:pt>
                <c:pt idx="2">
                  <c:v>109</c:v>
                </c:pt>
                <c:pt idx="3">
                  <c:v>10</c:v>
                </c:pt>
              </c:numCache>
            </c:numRef>
          </c:val>
          <c:extLst>
            <c:ext xmlns:c16="http://schemas.microsoft.com/office/drawing/2014/chart" uri="{C3380CC4-5D6E-409C-BE32-E72D297353CC}">
              <c16:uniqueId val="{00000005-1869-44EC-AD21-028673DA9F90}"/>
            </c:ext>
          </c:extLst>
        </c:ser>
        <c:ser>
          <c:idx val="6"/>
          <c:order val="6"/>
          <c:tx>
            <c:strRef>
              <c:f>'pivot table'!$H$3:$H$4</c:f>
              <c:strCache>
                <c:ptCount val="1"/>
                <c:pt idx="0">
                  <c:v>August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 table'!$A$5:$A$9</c:f>
              <c:strCache>
                <c:ptCount val="4"/>
                <c:pt idx="0">
                  <c:v>2013</c:v>
                </c:pt>
                <c:pt idx="1">
                  <c:v>2014</c:v>
                </c:pt>
                <c:pt idx="2">
                  <c:v>2015</c:v>
                </c:pt>
                <c:pt idx="3">
                  <c:v>2016</c:v>
                </c:pt>
              </c:strCache>
            </c:strRef>
          </c:cat>
          <c:val>
            <c:numRef>
              <c:f>'pivot table'!$H$5:$H$9</c:f>
              <c:numCache>
                <c:formatCode>General</c:formatCode>
                <c:ptCount val="4"/>
                <c:pt idx="0">
                  <c:v>109</c:v>
                </c:pt>
                <c:pt idx="2">
                  <c:v>79</c:v>
                </c:pt>
              </c:numCache>
            </c:numRef>
          </c:val>
          <c:extLst>
            <c:ext xmlns:c16="http://schemas.microsoft.com/office/drawing/2014/chart" uri="{C3380CC4-5D6E-409C-BE32-E72D297353CC}">
              <c16:uniqueId val="{0000000B-1869-44EC-AD21-028673DA9F90}"/>
            </c:ext>
          </c:extLst>
        </c:ser>
        <c:ser>
          <c:idx val="7"/>
          <c:order val="7"/>
          <c:tx>
            <c:strRef>
              <c:f>'pivot table'!$I$3:$I$4</c:f>
              <c:strCache>
                <c:ptCount val="1"/>
                <c:pt idx="0">
                  <c:v>September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 table'!$A$5:$A$9</c:f>
              <c:strCache>
                <c:ptCount val="4"/>
                <c:pt idx="0">
                  <c:v>2013</c:v>
                </c:pt>
                <c:pt idx="1">
                  <c:v>2014</c:v>
                </c:pt>
                <c:pt idx="2">
                  <c:v>2015</c:v>
                </c:pt>
                <c:pt idx="3">
                  <c:v>2016</c:v>
                </c:pt>
              </c:strCache>
            </c:strRef>
          </c:cat>
          <c:val>
            <c:numRef>
              <c:f>'pivot table'!$I$5:$I$9</c:f>
              <c:numCache>
                <c:formatCode>General</c:formatCode>
                <c:ptCount val="4"/>
                <c:pt idx="0">
                  <c:v>114</c:v>
                </c:pt>
                <c:pt idx="2">
                  <c:v>114</c:v>
                </c:pt>
              </c:numCache>
            </c:numRef>
          </c:val>
          <c:extLst>
            <c:ext xmlns:c16="http://schemas.microsoft.com/office/drawing/2014/chart" uri="{C3380CC4-5D6E-409C-BE32-E72D297353CC}">
              <c16:uniqueId val="{0000000C-1869-44EC-AD21-028673DA9F90}"/>
            </c:ext>
          </c:extLst>
        </c:ser>
        <c:ser>
          <c:idx val="8"/>
          <c:order val="8"/>
          <c:tx>
            <c:strRef>
              <c:f>'pivot table'!$J$3:$J$4</c:f>
              <c:strCache>
                <c:ptCount val="1"/>
                <c:pt idx="0">
                  <c:v>October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 table'!$A$5:$A$9</c:f>
              <c:strCache>
                <c:ptCount val="4"/>
                <c:pt idx="0">
                  <c:v>2013</c:v>
                </c:pt>
                <c:pt idx="1">
                  <c:v>2014</c:v>
                </c:pt>
                <c:pt idx="2">
                  <c:v>2015</c:v>
                </c:pt>
                <c:pt idx="3">
                  <c:v>2016</c:v>
                </c:pt>
              </c:strCache>
            </c:strRef>
          </c:cat>
          <c:val>
            <c:numRef>
              <c:f>'pivot table'!$J$5:$J$9</c:f>
              <c:numCache>
                <c:formatCode>General</c:formatCode>
                <c:ptCount val="4"/>
                <c:pt idx="0">
                  <c:v>25</c:v>
                </c:pt>
              </c:numCache>
            </c:numRef>
          </c:val>
          <c:extLst>
            <c:ext xmlns:c16="http://schemas.microsoft.com/office/drawing/2014/chart" uri="{C3380CC4-5D6E-409C-BE32-E72D297353CC}">
              <c16:uniqueId val="{0000000D-1869-44EC-AD21-028673DA9F90}"/>
            </c:ext>
          </c:extLst>
        </c:ser>
        <c:ser>
          <c:idx val="9"/>
          <c:order val="9"/>
          <c:tx>
            <c:strRef>
              <c:f>'pivot table'!$K$3:$K$4</c:f>
              <c:strCache>
                <c:ptCount val="1"/>
                <c:pt idx="0">
                  <c:v>November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 table'!$A$5:$A$9</c:f>
              <c:strCache>
                <c:ptCount val="4"/>
                <c:pt idx="0">
                  <c:v>2013</c:v>
                </c:pt>
                <c:pt idx="1">
                  <c:v>2014</c:v>
                </c:pt>
                <c:pt idx="2">
                  <c:v>2015</c:v>
                </c:pt>
                <c:pt idx="3">
                  <c:v>2016</c:v>
                </c:pt>
              </c:strCache>
            </c:strRef>
          </c:cat>
          <c:val>
            <c:numRef>
              <c:f>'pivot table'!$K$5:$K$9</c:f>
              <c:numCache>
                <c:formatCode>General</c:formatCode>
                <c:ptCount val="4"/>
                <c:pt idx="0">
                  <c:v>86</c:v>
                </c:pt>
                <c:pt idx="2">
                  <c:v>60</c:v>
                </c:pt>
              </c:numCache>
            </c:numRef>
          </c:val>
          <c:extLst>
            <c:ext xmlns:c16="http://schemas.microsoft.com/office/drawing/2014/chart" uri="{C3380CC4-5D6E-409C-BE32-E72D297353CC}">
              <c16:uniqueId val="{0000000E-1869-44EC-AD21-028673DA9F90}"/>
            </c:ext>
          </c:extLst>
        </c:ser>
        <c:ser>
          <c:idx val="10"/>
          <c:order val="10"/>
          <c:tx>
            <c:strRef>
              <c:f>'pivot table'!$L$3:$L$4</c:f>
              <c:strCache>
                <c:ptCount val="1"/>
                <c:pt idx="0">
                  <c:v>December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 table'!$A$5:$A$9</c:f>
              <c:strCache>
                <c:ptCount val="4"/>
                <c:pt idx="0">
                  <c:v>2013</c:v>
                </c:pt>
                <c:pt idx="1">
                  <c:v>2014</c:v>
                </c:pt>
                <c:pt idx="2">
                  <c:v>2015</c:v>
                </c:pt>
                <c:pt idx="3">
                  <c:v>2016</c:v>
                </c:pt>
              </c:strCache>
            </c:strRef>
          </c:cat>
          <c:val>
            <c:numRef>
              <c:f>'pivot table'!$L$5:$L$9</c:f>
              <c:numCache>
                <c:formatCode>General</c:formatCode>
                <c:ptCount val="4"/>
                <c:pt idx="0">
                  <c:v>57</c:v>
                </c:pt>
                <c:pt idx="2">
                  <c:v>57</c:v>
                </c:pt>
              </c:numCache>
            </c:numRef>
          </c:val>
          <c:extLst>
            <c:ext xmlns:c16="http://schemas.microsoft.com/office/drawing/2014/chart" uri="{C3380CC4-5D6E-409C-BE32-E72D297353CC}">
              <c16:uniqueId val="{0000000F-1869-44EC-AD21-028673DA9F9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20383333333333331"/>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767825896762902"/>
          <c:y val="0.59046296296296297"/>
          <c:w val="0.87232174103237092"/>
          <c:h val="0.32528579760863224"/>
        </c:manualLayout>
      </c:layout>
      <c:bar3DChart>
        <c:barDir val="col"/>
        <c:grouping val="percentStacked"/>
        <c:varyColors val="0"/>
        <c:ser>
          <c:idx val="0"/>
          <c:order val="0"/>
          <c:tx>
            <c:strRef>
              <c:f>'pivot table'!$S$34:$S$127</c:f>
              <c:strCache>
                <c:ptCount val="94"/>
                <c:pt idx="0">
                  <c:v>medium</c:v>
                </c:pt>
                <c:pt idx="1">
                  <c:v>medium</c:v>
                </c:pt>
                <c:pt idx="2">
                  <c:v>HIGH</c:v>
                </c:pt>
                <c:pt idx="3">
                  <c:v>HIGH</c:v>
                </c:pt>
                <c:pt idx="4">
                  <c:v>low</c:v>
                </c:pt>
                <c:pt idx="5">
                  <c:v>low</c:v>
                </c:pt>
                <c:pt idx="6">
                  <c:v>low</c:v>
                </c:pt>
                <c:pt idx="7">
                  <c:v>low</c:v>
                </c:pt>
                <c:pt idx="8">
                  <c:v>HIGH</c:v>
                </c:pt>
                <c:pt idx="9">
                  <c:v>HIGH</c:v>
                </c:pt>
                <c:pt idx="10">
                  <c:v>low</c:v>
                </c:pt>
                <c:pt idx="11">
                  <c:v>low</c:v>
                </c:pt>
                <c:pt idx="12">
                  <c:v>low</c:v>
                </c:pt>
                <c:pt idx="13">
                  <c:v>low</c:v>
                </c:pt>
                <c:pt idx="14">
                  <c:v>low</c:v>
                </c:pt>
                <c:pt idx="15">
                  <c:v>medium</c:v>
                </c:pt>
                <c:pt idx="16">
                  <c:v>low</c:v>
                </c:pt>
                <c:pt idx="17">
                  <c:v>low</c:v>
                </c:pt>
                <c:pt idx="18">
                  <c:v>low</c:v>
                </c:pt>
                <c:pt idx="19">
                  <c:v>low</c:v>
                </c:pt>
                <c:pt idx="20">
                  <c:v>low</c:v>
                </c:pt>
                <c:pt idx="21">
                  <c:v>medium</c:v>
                </c:pt>
                <c:pt idx="22">
                  <c:v>medium</c:v>
                </c:pt>
                <c:pt idx="23">
                  <c:v>low</c:v>
                </c:pt>
                <c:pt idx="24">
                  <c:v>low</c:v>
                </c:pt>
                <c:pt idx="25">
                  <c:v>low</c:v>
                </c:pt>
                <c:pt idx="26">
                  <c:v>low</c:v>
                </c:pt>
                <c:pt idx="27">
                  <c:v>low</c:v>
                </c:pt>
                <c:pt idx="28">
                  <c:v>low</c:v>
                </c:pt>
                <c:pt idx="29">
                  <c:v>low</c:v>
                </c:pt>
                <c:pt idx="30">
                  <c:v>HIGH</c:v>
                </c:pt>
                <c:pt idx="31">
                  <c:v>HIGH</c:v>
                </c:pt>
                <c:pt idx="32">
                  <c:v>HIGH</c:v>
                </c:pt>
                <c:pt idx="33">
                  <c:v>HIGH</c:v>
                </c:pt>
                <c:pt idx="34">
                  <c:v>medium</c:v>
                </c:pt>
                <c:pt idx="35">
                  <c:v>medium</c:v>
                </c:pt>
                <c:pt idx="36">
                  <c:v>HIGH</c:v>
                </c:pt>
                <c:pt idx="37">
                  <c:v>HIGH</c:v>
                </c:pt>
                <c:pt idx="38">
                  <c:v>medium</c:v>
                </c:pt>
                <c:pt idx="39">
                  <c:v>medium</c:v>
                </c:pt>
                <c:pt idx="40">
                  <c:v>medium</c:v>
                </c:pt>
                <c:pt idx="41">
                  <c:v>medium</c:v>
                </c:pt>
                <c:pt idx="42">
                  <c:v>medium</c:v>
                </c:pt>
                <c:pt idx="43">
                  <c:v>medium</c:v>
                </c:pt>
                <c:pt idx="44">
                  <c:v>low</c:v>
                </c:pt>
                <c:pt idx="45">
                  <c:v>medium</c:v>
                </c:pt>
                <c:pt idx="46">
                  <c:v>HIGH</c:v>
                </c:pt>
                <c:pt idx="47">
                  <c:v>low</c:v>
                </c:pt>
                <c:pt idx="48">
                  <c:v>low</c:v>
                </c:pt>
                <c:pt idx="49">
                  <c:v>low</c:v>
                </c:pt>
                <c:pt idx="50">
                  <c:v>low</c:v>
                </c:pt>
                <c:pt idx="51">
                  <c:v>HIGH</c:v>
                </c:pt>
                <c:pt idx="52">
                  <c:v>HIGH</c:v>
                </c:pt>
                <c:pt idx="53">
                  <c:v>medium</c:v>
                </c:pt>
                <c:pt idx="54">
                  <c:v>low</c:v>
                </c:pt>
                <c:pt idx="55">
                  <c:v>low</c:v>
                </c:pt>
                <c:pt idx="56">
                  <c:v>medium</c:v>
                </c:pt>
                <c:pt idx="57">
                  <c:v>HIGH</c:v>
                </c:pt>
                <c:pt idx="58">
                  <c:v>HIGH</c:v>
                </c:pt>
                <c:pt idx="59">
                  <c:v>low</c:v>
                </c:pt>
                <c:pt idx="60">
                  <c:v>low</c:v>
                </c:pt>
                <c:pt idx="61">
                  <c:v>low</c:v>
                </c:pt>
                <c:pt idx="62">
                  <c:v>low</c:v>
                </c:pt>
                <c:pt idx="63">
                  <c:v>medium</c:v>
                </c:pt>
                <c:pt idx="64">
                  <c:v>low</c:v>
                </c:pt>
                <c:pt idx="65">
                  <c:v>medium</c:v>
                </c:pt>
                <c:pt idx="66">
                  <c:v>medium</c:v>
                </c:pt>
                <c:pt idx="67">
                  <c:v>low</c:v>
                </c:pt>
                <c:pt idx="68">
                  <c:v>low</c:v>
                </c:pt>
                <c:pt idx="69">
                  <c:v>low</c:v>
                </c:pt>
                <c:pt idx="70">
                  <c:v>low</c:v>
                </c:pt>
                <c:pt idx="71">
                  <c:v>medium</c:v>
                </c:pt>
                <c:pt idx="72">
                  <c:v>medium</c:v>
                </c:pt>
                <c:pt idx="73">
                  <c:v>medium</c:v>
                </c:pt>
                <c:pt idx="74">
                  <c:v>medium</c:v>
                </c:pt>
                <c:pt idx="75">
                  <c:v>low</c:v>
                </c:pt>
                <c:pt idx="76">
                  <c:v>low</c:v>
                </c:pt>
                <c:pt idx="77">
                  <c:v>low</c:v>
                </c:pt>
                <c:pt idx="78">
                  <c:v>low</c:v>
                </c:pt>
                <c:pt idx="79">
                  <c:v>low</c:v>
                </c:pt>
                <c:pt idx="80">
                  <c:v>low</c:v>
                </c:pt>
                <c:pt idx="81">
                  <c:v>HIGH</c:v>
                </c:pt>
                <c:pt idx="82">
                  <c:v>HIGH</c:v>
                </c:pt>
                <c:pt idx="83">
                  <c:v>low</c:v>
                </c:pt>
                <c:pt idx="84">
                  <c:v>low</c:v>
                </c:pt>
                <c:pt idx="85">
                  <c:v>low</c:v>
                </c:pt>
                <c:pt idx="86">
                  <c:v>low</c:v>
                </c:pt>
                <c:pt idx="87">
                  <c:v>HIGH</c:v>
                </c:pt>
                <c:pt idx="88">
                  <c:v>HIGH</c:v>
                </c:pt>
                <c:pt idx="89">
                  <c:v>low</c:v>
                </c:pt>
                <c:pt idx="90">
                  <c:v>HIGH</c:v>
                </c:pt>
                <c:pt idx="91">
                  <c:v>HIGH</c:v>
                </c:pt>
                <c:pt idx="92">
                  <c:v>low</c:v>
                </c:pt>
                <c:pt idx="93">
                  <c:v>low</c:v>
                </c:pt>
              </c:strCache>
            </c:strRef>
          </c:tx>
          <c:spPr>
            <a:solidFill>
              <a:schemeClr val="accent1"/>
            </a:solidFill>
            <a:ln>
              <a:noFill/>
            </a:ln>
            <a:effectLst/>
            <a:sp3d/>
          </c:spPr>
          <c:invertIfNegative val="0"/>
          <c:val>
            <c:numRef>
              <c:f>'pivot table'!$S$128</c:f>
              <c:numCache>
                <c:formatCode>General</c:formatCode>
                <c:ptCount val="1"/>
                <c:pt idx="0">
                  <c:v>0</c:v>
                </c:pt>
              </c:numCache>
            </c:numRef>
          </c:val>
          <c:extLst>
            <c:ext xmlns:c16="http://schemas.microsoft.com/office/drawing/2014/chart" uri="{C3380CC4-5D6E-409C-BE32-E72D297353CC}">
              <c16:uniqueId val="{00000000-C812-45C7-B7C9-1865341E18E3}"/>
            </c:ext>
          </c:extLst>
        </c:ser>
        <c:dLbls>
          <c:showLegendKey val="0"/>
          <c:showVal val="0"/>
          <c:showCatName val="0"/>
          <c:showSerName val="0"/>
          <c:showPercent val="0"/>
          <c:showBubbleSize val="0"/>
        </c:dLbls>
        <c:gapWidth val="150"/>
        <c:shape val="box"/>
        <c:axId val="1265898224"/>
        <c:axId val="1265893648"/>
        <c:axId val="0"/>
      </c:bar3DChart>
      <c:catAx>
        <c:axId val="126589822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893648"/>
        <c:crosses val="autoZero"/>
        <c:auto val="1"/>
        <c:lblAlgn val="ctr"/>
        <c:lblOffset val="100"/>
        <c:noMultiLvlLbl val="0"/>
      </c:catAx>
      <c:valAx>
        <c:axId val="12658936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898224"/>
        <c:crosses val="autoZero"/>
        <c:crossBetween val="between"/>
      </c:valAx>
      <c:spPr>
        <a:noFill/>
        <a:ln>
          <a:noFill/>
        </a:ln>
        <a:effectLst/>
      </c:spPr>
    </c:plotArea>
    <c:plotVisOnly val="1"/>
    <c:dispBlanksAs val="gap"/>
    <c:showDLblsOverMax val="0"/>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76200</xdr:colOff>
      <xdr:row>13</xdr:row>
      <xdr:rowOff>104775</xdr:rowOff>
    </xdr:from>
    <xdr:to>
      <xdr:col>8</xdr:col>
      <xdr:colOff>114300</xdr:colOff>
      <xdr:row>27</xdr:row>
      <xdr:rowOff>180975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13</xdr:row>
      <xdr:rowOff>104775</xdr:rowOff>
    </xdr:from>
    <xdr:to>
      <xdr:col>16</xdr:col>
      <xdr:colOff>600075</xdr:colOff>
      <xdr:row>27</xdr:row>
      <xdr:rowOff>180975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557212</xdr:colOff>
      <xdr:row>13</xdr:row>
      <xdr:rowOff>95250</xdr:rowOff>
    </xdr:from>
    <xdr:to>
      <xdr:col>26</xdr:col>
      <xdr:colOff>247650</xdr:colOff>
      <xdr:row>27</xdr:row>
      <xdr:rowOff>161925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19049</xdr:colOff>
      <xdr:row>13</xdr:row>
      <xdr:rowOff>114300</xdr:rowOff>
    </xdr:from>
    <xdr:to>
      <xdr:col>35</xdr:col>
      <xdr:colOff>9524</xdr:colOff>
      <xdr:row>28</xdr:row>
      <xdr:rowOff>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447675</xdr:colOff>
      <xdr:row>36</xdr:row>
      <xdr:rowOff>171450</xdr:rowOff>
    </xdr:from>
    <xdr:to>
      <xdr:col>27</xdr:col>
      <xdr:colOff>447674</xdr:colOff>
      <xdr:row>52</xdr:row>
      <xdr:rowOff>114300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104775</xdr:colOff>
      <xdr:row>0</xdr:row>
      <xdr:rowOff>133350</xdr:rowOff>
    </xdr:from>
    <xdr:to>
      <xdr:col>19</xdr:col>
      <xdr:colOff>57150</xdr:colOff>
      <xdr:row>13</xdr:row>
      <xdr:rowOff>38100</xdr:rowOff>
    </xdr:to>
    <mc:AlternateContent xmlns:mc="http://schemas.openxmlformats.org/markup-compatibility/2006">
      <mc:Choice xmlns:a14="http://schemas.microsoft.com/office/drawing/2010/main" Requires="a14">
        <xdr:graphicFrame macro="">
          <xdr:nvGraphicFramePr>
            <xdr:cNvPr id="8"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753600" y="133350"/>
              <a:ext cx="1781175"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533400</xdr:colOff>
      <xdr:row>4</xdr:row>
      <xdr:rowOff>57150</xdr:rowOff>
    </xdr:from>
    <xdr:to>
      <xdr:col>25</xdr:col>
      <xdr:colOff>209550</xdr:colOff>
      <xdr:row>11</xdr:row>
      <xdr:rowOff>95250</xdr:rowOff>
    </xdr:to>
    <mc:AlternateContent xmlns:mc="http://schemas.openxmlformats.org/markup-compatibility/2006">
      <mc:Choice xmlns:tsle="http://schemas.microsoft.com/office/drawing/2012/timeslicer" Requires="tsle">
        <xdr:graphicFrame macro="">
          <xdr:nvGraphicFramePr>
            <xdr:cNvPr id="9" name="Date"/>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2011025" y="81915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5996.567712847223" createdVersion="6" refreshedVersion="6" minRefreshableVersion="3" recordCount="95">
  <cacheSource type="worksheet">
    <worksheetSource ref="A1:R96" sheet="clean_data"/>
  </cacheSource>
  <cacheFields count="18">
    <cacheField name="Date" numFmtId="14">
      <sharedItems containsSemiMixedTypes="0" containsNonDate="0" containsDate="1" containsString="0" minDate="2013-07-13T00:00:00" maxDate="2016-07-11T00:00:00" count="91">
        <d v="2013-11-26T00:00:00"/>
        <d v="2015-11-26T00:00:00"/>
        <d v="2014-03-23T00:00:00"/>
        <d v="2016-03-23T00:00:00"/>
        <d v="2014-05-15T00:00:00"/>
        <d v="2016-05-15T00:00:00"/>
        <d v="2014-05-22T00:00:00"/>
        <d v="2016-05-22T00:00:00"/>
        <d v="2014-02-22T00:00:00"/>
        <d v="2016-02-22T00:00:00"/>
        <d v="2013-07-30T00:00:00"/>
        <d v="2015-07-30T00:00:00"/>
        <d v="2013-07-15T00:00:00"/>
        <d v="2015-07-15T00:00:00"/>
        <d v="2013-08-02T00:00:00"/>
        <d v="2015-08-02T00:00:00"/>
        <d v="2013-09-02T00:00:00"/>
        <d v="2015-09-02T00:00:00"/>
        <d v="2014-01-22T00:00:00"/>
        <d v="2016-01-22T00:00:00"/>
        <d v="2014-05-17T00:00:00"/>
        <d v="2016-05-17T00:00:00"/>
        <d v="2014-03-27T00:00:00"/>
        <d v="2016-03-27T00:00:00"/>
        <d v="2013-08-25T00:00:00"/>
        <d v="2015-08-25T00:00:00"/>
        <d v="2013-12-26T00:00:00"/>
        <d v="2015-12-26T00:00:00"/>
        <d v="2014-01-02T00:00:00"/>
        <d v="2016-01-02T00:00:00"/>
        <d v="2014-03-13T00:00:00"/>
        <d v="2016-03-13T00:00:00"/>
        <d v="2014-05-23T00:00:00"/>
        <d v="2016-05-23T00:00:00"/>
        <d v="2013-07-19T00:00:00"/>
        <d v="2015-07-19T00:00:00"/>
        <d v="2013-11-11T00:00:00"/>
        <d v="2015-11-11T00:00:00"/>
        <d v="2013-07-13T00:00:00"/>
        <d v="2015-07-13T00:00:00"/>
        <d v="2014-03-31T00:00:00"/>
        <d v="2016-03-31T00:00:00"/>
        <d v="2013-08-28T00:00:00"/>
        <d v="2015-08-28T00:00:00"/>
        <d v="2013-08-27T00:00:00"/>
        <d v="2013-11-17T00:00:00"/>
        <d v="2015-11-17T00:00:00"/>
        <d v="2013-08-07T00:00:00"/>
        <d v="2015-08-07T00:00:00"/>
        <d v="2013-08-17T00:00:00"/>
        <d v="2015-08-17T00:00:00"/>
        <d v="2013-07-17T00:00:00"/>
        <d v="2015-07-17T00:00:00"/>
        <d v="2013-12-31T00:00:00"/>
        <d v="2015-12-31T00:00:00"/>
        <d v="2013-09-17T00:00:00"/>
        <d v="2015-09-17T00:00:00"/>
        <d v="2013-09-24T00:00:00"/>
        <d v="2015-09-24T00:00:00"/>
        <d v="2013-09-25T00:00:00"/>
        <d v="2015-09-25T00:00:00"/>
        <d v="2013-08-03T00:00:00"/>
        <d v="2014-06-19T00:00:00"/>
        <d v="2016-06-19T00:00:00"/>
        <d v="2014-03-04T00:00:00"/>
        <d v="2016-03-04T00:00:00"/>
        <d v="2014-05-30T00:00:00"/>
        <d v="2016-05-30T00:00:00"/>
        <d v="2014-06-28T00:00:00"/>
        <d v="2016-06-28T00:00:00"/>
        <d v="2014-07-10T00:00:00"/>
        <d v="2016-07-10T00:00:00"/>
        <d v="2014-03-12T00:00:00"/>
        <d v="2016-03-12T00:00:00"/>
        <d v="2013-09-03T00:00:00"/>
        <d v="2015-09-03T00:00:00"/>
        <d v="2014-03-26T00:00:00"/>
        <d v="2016-03-26T00:00:00"/>
        <d v="2014-05-04T00:00:00"/>
        <d v="2016-05-04T00:00:00"/>
        <d v="2014-02-04T00:00:00"/>
        <d v="2016-02-04T00:00:00"/>
        <d v="2013-11-06T00:00:00"/>
        <d v="2015-11-06T00:00:00"/>
        <d v="2014-02-12T00:00:00"/>
        <d v="2016-02-12T00:00:00"/>
        <d v="2013-09-23T00:00:00"/>
        <d v="2015-09-23T00:00:00"/>
        <d v="2013-09-20T00:00:00"/>
        <d v="2015-09-20T00:00:00"/>
        <d v="2013-10-25T00:00:00"/>
      </sharedItems>
    </cacheField>
    <cacheField name="Day" numFmtId="0">
      <sharedItems containsSemiMixedTypes="0" containsString="0" containsNumber="1" containsInteger="1" minValue="2" maxValue="31"/>
    </cacheField>
    <cacheField name="Month" numFmtId="0">
      <sharedItems count="11">
        <s v="November"/>
        <s v="March"/>
        <s v="May"/>
        <s v="February"/>
        <s v="July"/>
        <s v="August"/>
        <s v="September"/>
        <s v="January"/>
        <s v="December"/>
        <s v="June"/>
        <s v="October"/>
      </sharedItems>
    </cacheField>
    <cacheField name="Year" numFmtId="0">
      <sharedItems containsSemiMixedTypes="0" containsString="0" containsNumber="1" containsInteger="1" minValue="2013" maxValue="2016" count="4">
        <n v="2013"/>
        <n v="2015"/>
        <n v="2014"/>
        <n v="2016"/>
      </sharedItems>
    </cacheField>
    <cacheField name="Customer_Age" numFmtId="0">
      <sharedItems containsSemiMixedTypes="0" containsString="0" containsNumber="1" containsInteger="1" minValue="19" maxValue="61"/>
    </cacheField>
    <cacheField name="Age_Group" numFmtId="0">
      <sharedItems/>
    </cacheField>
    <cacheField name="Customer_Gender" numFmtId="0">
      <sharedItems/>
    </cacheField>
    <cacheField name="Country" numFmtId="0">
      <sharedItems/>
    </cacheField>
    <cacheField name="State" numFmtId="0">
      <sharedItems/>
    </cacheField>
    <cacheField name="Product_Category" numFmtId="0">
      <sharedItems/>
    </cacheField>
    <cacheField name="Sub_Category" numFmtId="0">
      <sharedItems/>
    </cacheField>
    <cacheField name="Product" numFmtId="0">
      <sharedItems/>
    </cacheField>
    <cacheField name="Order_Quantity" numFmtId="0">
      <sharedItems containsSemiMixedTypes="0" containsString="0" containsNumber="1" containsInteger="1" minValue="1" maxValue="30"/>
    </cacheField>
    <cacheField name="Unit_Cost" numFmtId="0">
      <sharedItems containsSemiMixedTypes="0" containsString="0" containsNumber="1" containsInteger="1" minValue="45" maxValue="45"/>
    </cacheField>
    <cacheField name="Unit_Price" numFmtId="0">
      <sharedItems containsSemiMixedTypes="0" containsString="0" containsNumber="1" containsInteger="1" minValue="120" maxValue="120"/>
    </cacheField>
    <cacheField name="Profit" numFmtId="0">
      <sharedItems containsSemiMixedTypes="0" containsString="0" containsNumber="1" containsInteger="1" minValue="49" maxValue="2178"/>
    </cacheField>
    <cacheField name="Cost" numFmtId="0">
      <sharedItems containsSemiMixedTypes="0" containsString="0" containsNumber="1" containsInteger="1" minValue="45" maxValue="1350"/>
    </cacheField>
    <cacheField name="Revenue" numFmtId="0">
      <sharedItems containsSemiMixedTypes="0" containsString="0" containsNumber="1" containsInteger="1" minValue="94" maxValue="3528"/>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5">
  <r>
    <x v="0"/>
    <n v="26"/>
    <x v="0"/>
    <x v="0"/>
    <n v="19"/>
    <s v="Youth (&lt;25)"/>
    <s v="M"/>
    <s v="Canada"/>
    <s v="British Columbia"/>
    <s v="Accessories"/>
    <s v="Bike Racks"/>
    <s v="Hitch Rack - 4-Bike"/>
    <n v="8"/>
    <n v="45"/>
    <n v="120"/>
    <n v="590"/>
    <n v="360"/>
    <n v="950"/>
  </r>
  <r>
    <x v="1"/>
    <n v="26"/>
    <x v="0"/>
    <x v="1"/>
    <n v="19"/>
    <s v="Youth (&lt;25)"/>
    <s v="M"/>
    <s v="Canada"/>
    <s v="British Columbia"/>
    <s v="Accessories"/>
    <s v="Bike Racks"/>
    <s v="Hitch Rack - 4-Bike"/>
    <n v="8"/>
    <n v="45"/>
    <n v="120"/>
    <n v="590"/>
    <n v="360"/>
    <n v="950"/>
  </r>
  <r>
    <x v="2"/>
    <n v="23"/>
    <x v="1"/>
    <x v="2"/>
    <n v="49"/>
    <s v="Adults (35-64)"/>
    <s v="M"/>
    <s v="Australia"/>
    <s v="New South Wales"/>
    <s v="Accessories"/>
    <s v="Bike Racks"/>
    <s v="Hitch Rack - 4-Bike"/>
    <n v="23"/>
    <n v="45"/>
    <n v="120"/>
    <n v="1366"/>
    <n v="1035"/>
    <n v="2401"/>
  </r>
  <r>
    <x v="3"/>
    <n v="23"/>
    <x v="1"/>
    <x v="3"/>
    <n v="49"/>
    <s v="Adults (35-64)"/>
    <s v="M"/>
    <s v="Australia"/>
    <s v="New South Wales"/>
    <s v="Accessories"/>
    <s v="Bike Racks"/>
    <s v="Hitch Rack - 4-Bike"/>
    <n v="20"/>
    <n v="45"/>
    <n v="120"/>
    <n v="1188"/>
    <n v="900"/>
    <n v="2088"/>
  </r>
  <r>
    <x v="4"/>
    <n v="15"/>
    <x v="2"/>
    <x v="2"/>
    <n v="47"/>
    <s v="Adults (35-64)"/>
    <s v="F"/>
    <s v="Australia"/>
    <s v="New South Wales"/>
    <s v="Accessories"/>
    <s v="Bike Racks"/>
    <s v="Hitch Rack - 4-Bike"/>
    <n v="4"/>
    <n v="45"/>
    <n v="120"/>
    <n v="238"/>
    <n v="180"/>
    <n v="418"/>
  </r>
  <r>
    <x v="5"/>
    <n v="15"/>
    <x v="2"/>
    <x v="3"/>
    <n v="47"/>
    <s v="Adults (35-64)"/>
    <s v="F"/>
    <s v="Australia"/>
    <s v="New South Wales"/>
    <s v="Accessories"/>
    <s v="Bike Racks"/>
    <s v="Hitch Rack - 4-Bike"/>
    <n v="5"/>
    <n v="45"/>
    <n v="120"/>
    <n v="297"/>
    <n v="225"/>
    <n v="522"/>
  </r>
  <r>
    <x v="6"/>
    <n v="22"/>
    <x v="2"/>
    <x v="2"/>
    <n v="47"/>
    <s v="Adults (35-64)"/>
    <s v="F"/>
    <s v="Australia"/>
    <s v="Victoria"/>
    <s v="Accessories"/>
    <s v="Bike Racks"/>
    <s v="Hitch Rack - 4-Bike"/>
    <n v="4"/>
    <n v="45"/>
    <n v="120"/>
    <n v="199"/>
    <n v="180"/>
    <n v="379"/>
  </r>
  <r>
    <x v="7"/>
    <n v="22"/>
    <x v="2"/>
    <x v="3"/>
    <n v="47"/>
    <s v="Adults (35-64)"/>
    <s v="F"/>
    <s v="Australia"/>
    <s v="Victoria"/>
    <s v="Accessories"/>
    <s v="Bike Racks"/>
    <s v="Hitch Rack - 4-Bike"/>
    <n v="2"/>
    <n v="45"/>
    <n v="120"/>
    <n v="100"/>
    <n v="90"/>
    <n v="190"/>
  </r>
  <r>
    <x v="8"/>
    <n v="22"/>
    <x v="3"/>
    <x v="2"/>
    <n v="35"/>
    <s v="Adults (35-64)"/>
    <s v="M"/>
    <s v="Australia"/>
    <s v="Victoria"/>
    <s v="Accessories"/>
    <s v="Bike Racks"/>
    <s v="Hitch Rack - 4-Bike"/>
    <n v="22"/>
    <n v="45"/>
    <n v="120"/>
    <n v="1096"/>
    <n v="990"/>
    <n v="2086"/>
  </r>
  <r>
    <x v="9"/>
    <n v="22"/>
    <x v="3"/>
    <x v="3"/>
    <n v="35"/>
    <s v="Adults (35-64)"/>
    <s v="M"/>
    <s v="Australia"/>
    <s v="Victoria"/>
    <s v="Accessories"/>
    <s v="Bike Racks"/>
    <s v="Hitch Rack - 4-Bike"/>
    <n v="21"/>
    <n v="45"/>
    <n v="120"/>
    <n v="1046"/>
    <n v="945"/>
    <n v="1991"/>
  </r>
  <r>
    <x v="10"/>
    <n v="30"/>
    <x v="4"/>
    <x v="0"/>
    <n v="32"/>
    <s v="Young Adults (25-34)"/>
    <s v="F"/>
    <s v="Australia"/>
    <s v="Victoria"/>
    <s v="Accessories"/>
    <s v="Bike Racks"/>
    <s v="Hitch Rack - 4-Bike"/>
    <n v="8"/>
    <n v="45"/>
    <n v="120"/>
    <n v="398"/>
    <n v="360"/>
    <n v="758"/>
  </r>
  <r>
    <x v="11"/>
    <n v="30"/>
    <x v="4"/>
    <x v="1"/>
    <n v="32"/>
    <s v="Young Adults (25-34)"/>
    <s v="F"/>
    <s v="Australia"/>
    <s v="Victoria"/>
    <s v="Accessories"/>
    <s v="Bike Racks"/>
    <s v="Hitch Rack - 4-Bike"/>
    <n v="8"/>
    <n v="45"/>
    <n v="120"/>
    <n v="398"/>
    <n v="360"/>
    <n v="758"/>
  </r>
  <r>
    <x v="12"/>
    <n v="15"/>
    <x v="4"/>
    <x v="0"/>
    <n v="34"/>
    <s v="Young Adults (25-34)"/>
    <s v="M"/>
    <s v="Australia"/>
    <s v="Victoria"/>
    <s v="Accessories"/>
    <s v="Bike Racks"/>
    <s v="Hitch Rack - 4-Bike"/>
    <n v="7"/>
    <n v="45"/>
    <n v="120"/>
    <n v="349"/>
    <n v="315"/>
    <n v="664"/>
  </r>
  <r>
    <x v="13"/>
    <n v="15"/>
    <x v="4"/>
    <x v="1"/>
    <n v="34"/>
    <s v="Young Adults (25-34)"/>
    <s v="M"/>
    <s v="Australia"/>
    <s v="Victoria"/>
    <s v="Accessories"/>
    <s v="Bike Racks"/>
    <s v="Hitch Rack - 4-Bike"/>
    <n v="7"/>
    <n v="45"/>
    <n v="120"/>
    <n v="349"/>
    <n v="315"/>
    <n v="664"/>
  </r>
  <r>
    <x v="14"/>
    <n v="2"/>
    <x v="5"/>
    <x v="0"/>
    <n v="29"/>
    <s v="Young Adults (25-34)"/>
    <s v="M"/>
    <s v="Canada"/>
    <s v="British Columbia"/>
    <s v="Accessories"/>
    <s v="Bike Racks"/>
    <s v="Hitch Rack - 4-Bike"/>
    <n v="5"/>
    <n v="45"/>
    <n v="120"/>
    <n v="369"/>
    <n v="225"/>
    <n v="594"/>
  </r>
  <r>
    <x v="15"/>
    <n v="2"/>
    <x v="5"/>
    <x v="1"/>
    <n v="29"/>
    <s v="Young Adults (25-34)"/>
    <s v="M"/>
    <s v="Canada"/>
    <s v="British Columbia"/>
    <s v="Accessories"/>
    <s v="Bike Racks"/>
    <s v="Hitch Rack - 4-Bike"/>
    <n v="7"/>
    <n v="45"/>
    <n v="120"/>
    <n v="517"/>
    <n v="315"/>
    <n v="832"/>
  </r>
  <r>
    <x v="16"/>
    <n v="2"/>
    <x v="6"/>
    <x v="0"/>
    <n v="29"/>
    <s v="Young Adults (25-34)"/>
    <s v="M"/>
    <s v="Canada"/>
    <s v="British Columbia"/>
    <s v="Accessories"/>
    <s v="Bike Racks"/>
    <s v="Hitch Rack - 4-Bike"/>
    <n v="2"/>
    <n v="45"/>
    <n v="120"/>
    <n v="148"/>
    <n v="90"/>
    <n v="238"/>
  </r>
  <r>
    <x v="17"/>
    <n v="2"/>
    <x v="6"/>
    <x v="1"/>
    <n v="29"/>
    <s v="Young Adults (25-34)"/>
    <s v="M"/>
    <s v="Canada"/>
    <s v="British Columbia"/>
    <s v="Accessories"/>
    <s v="Bike Racks"/>
    <s v="Hitch Rack - 4-Bike"/>
    <n v="1"/>
    <n v="45"/>
    <n v="120"/>
    <n v="74"/>
    <n v="45"/>
    <n v="119"/>
  </r>
  <r>
    <x v="18"/>
    <n v="22"/>
    <x v="7"/>
    <x v="2"/>
    <n v="29"/>
    <s v="Young Adults (25-34)"/>
    <s v="M"/>
    <s v="Canada"/>
    <s v="British Columbia"/>
    <s v="Accessories"/>
    <s v="Bike Racks"/>
    <s v="Hitch Rack - 4-Bike"/>
    <n v="1"/>
    <n v="45"/>
    <n v="120"/>
    <n v="74"/>
    <n v="45"/>
    <n v="119"/>
  </r>
  <r>
    <x v="19"/>
    <n v="22"/>
    <x v="7"/>
    <x v="3"/>
    <n v="29"/>
    <s v="Young Adults (25-34)"/>
    <s v="M"/>
    <s v="Canada"/>
    <s v="British Columbia"/>
    <s v="Accessories"/>
    <s v="Bike Racks"/>
    <s v="Hitch Rack - 4-Bike"/>
    <n v="1"/>
    <n v="45"/>
    <n v="120"/>
    <n v="74"/>
    <n v="45"/>
    <n v="119"/>
  </r>
  <r>
    <x v="20"/>
    <n v="17"/>
    <x v="2"/>
    <x v="2"/>
    <n v="45"/>
    <s v="Young Adults (25-34)"/>
    <s v="M"/>
    <s v="Canada"/>
    <s v="British Columbia"/>
    <s v="Accessories"/>
    <s v="Bike Racks"/>
    <s v="Hitch Rack - 4-Bike"/>
    <n v="6"/>
    <n v="45"/>
    <n v="120"/>
    <n v="443"/>
    <n v="270"/>
    <n v="713"/>
  </r>
  <r>
    <x v="21"/>
    <n v="17"/>
    <x v="2"/>
    <x v="3"/>
    <n v="29"/>
    <s v="Young Adults (25-34)"/>
    <s v="M"/>
    <s v="Canada"/>
    <s v="British Columbia"/>
    <s v="Accessories"/>
    <s v="Bike Racks"/>
    <s v="Hitch Rack - 4-Bike"/>
    <n v="8"/>
    <n v="45"/>
    <n v="120"/>
    <n v="590"/>
    <n v="360"/>
    <n v="950"/>
  </r>
  <r>
    <x v="22"/>
    <n v="27"/>
    <x v="1"/>
    <x v="2"/>
    <n v="51"/>
    <s v="Adults (35-64)"/>
    <s v="M"/>
    <s v="United States"/>
    <s v="Oregon"/>
    <s v="Accessories"/>
    <s v="Bike Racks"/>
    <s v="Hitch Rack - 4-Bike"/>
    <n v="9"/>
    <n v="45"/>
    <n v="120"/>
    <n v="524"/>
    <n v="405"/>
    <n v="929"/>
  </r>
  <r>
    <x v="23"/>
    <n v="27"/>
    <x v="1"/>
    <x v="3"/>
    <n v="51"/>
    <s v="Adults (35-64)"/>
    <s v="M"/>
    <s v="United States"/>
    <s v="Oregon"/>
    <s v="Accessories"/>
    <s v="Bike Racks"/>
    <s v="Hitch Rack - 4-Bike"/>
    <n v="7"/>
    <n v="45"/>
    <n v="120"/>
    <n v="407"/>
    <n v="315"/>
    <n v="722"/>
  </r>
  <r>
    <x v="24"/>
    <n v="25"/>
    <x v="5"/>
    <x v="0"/>
    <n v="49"/>
    <s v="Adults (35-64)"/>
    <s v="M"/>
    <s v="Canada"/>
    <s v="British Columbia"/>
    <s v="Accessories"/>
    <s v="Bike Racks"/>
    <s v="Hitch Rack - 4-Bike"/>
    <n v="3"/>
    <n v="45"/>
    <n v="120"/>
    <n v="221"/>
    <n v="135"/>
    <n v="356"/>
  </r>
  <r>
    <x v="25"/>
    <n v="25"/>
    <x v="5"/>
    <x v="1"/>
    <n v="49"/>
    <s v="Adults (35-64)"/>
    <s v="M"/>
    <s v="Canada"/>
    <s v="British Columbia"/>
    <s v="Accessories"/>
    <s v="Bike Racks"/>
    <s v="Hitch Rack - 4-Bike"/>
    <n v="1"/>
    <n v="45"/>
    <n v="120"/>
    <n v="74"/>
    <n v="45"/>
    <n v="119"/>
  </r>
  <r>
    <x v="26"/>
    <n v="26"/>
    <x v="8"/>
    <x v="0"/>
    <n v="56"/>
    <s v="Adults (35-64)"/>
    <s v="M"/>
    <s v="Canada"/>
    <s v="British Columbia"/>
    <s v="Accessories"/>
    <s v="Bike Racks"/>
    <s v="Hitch Rack - 4-Bike"/>
    <n v="6"/>
    <n v="45"/>
    <n v="120"/>
    <n v="443"/>
    <n v="270"/>
    <n v="713"/>
  </r>
  <r>
    <x v="27"/>
    <n v="26"/>
    <x v="8"/>
    <x v="1"/>
    <n v="49"/>
    <s v="Adults (35-64)"/>
    <s v="M"/>
    <s v="Canada"/>
    <s v="British Columbia"/>
    <s v="Accessories"/>
    <s v="Bike Racks"/>
    <s v="Hitch Rack - 4-Bike"/>
    <n v="5"/>
    <n v="45"/>
    <n v="120"/>
    <n v="369"/>
    <n v="225"/>
    <n v="594"/>
  </r>
  <r>
    <x v="28"/>
    <n v="2"/>
    <x v="7"/>
    <x v="2"/>
    <n v="48"/>
    <s v="Adults (35-64)"/>
    <s v="F"/>
    <s v="Canada"/>
    <s v="British Columbia"/>
    <s v="Accessories"/>
    <s v="Bike Racks"/>
    <s v="Hitch Rack - 4-Bike"/>
    <n v="4"/>
    <n v="45"/>
    <n v="120"/>
    <n v="295"/>
    <n v="180"/>
    <n v="475"/>
  </r>
  <r>
    <x v="29"/>
    <n v="2"/>
    <x v="7"/>
    <x v="3"/>
    <n v="48"/>
    <s v="Adults (35-64)"/>
    <s v="F"/>
    <s v="Canada"/>
    <s v="British Columbia"/>
    <s v="Accessories"/>
    <s v="Bike Racks"/>
    <s v="Hitch Rack - 4-Bike"/>
    <n v="4"/>
    <n v="45"/>
    <n v="120"/>
    <n v="295"/>
    <n v="180"/>
    <n v="475"/>
  </r>
  <r>
    <x v="30"/>
    <n v="13"/>
    <x v="1"/>
    <x v="2"/>
    <n v="48"/>
    <s v="Adults (35-64)"/>
    <s v="F"/>
    <s v="Canada"/>
    <s v="British Columbia"/>
    <s v="Accessories"/>
    <s v="Bike Racks"/>
    <s v="Hitch Rack - 4-Bike"/>
    <n v="20"/>
    <n v="45"/>
    <n v="120"/>
    <n v="1476"/>
    <n v="900"/>
    <n v="2376"/>
  </r>
  <r>
    <x v="31"/>
    <n v="13"/>
    <x v="1"/>
    <x v="3"/>
    <n v="48"/>
    <s v="Adults (35-64)"/>
    <s v="F"/>
    <s v="Canada"/>
    <s v="British Columbia"/>
    <s v="Accessories"/>
    <s v="Bike Racks"/>
    <s v="Hitch Rack - 4-Bike"/>
    <n v="22"/>
    <n v="45"/>
    <n v="120"/>
    <n v="1624"/>
    <n v="990"/>
    <n v="2614"/>
  </r>
  <r>
    <x v="32"/>
    <n v="23"/>
    <x v="2"/>
    <x v="2"/>
    <n v="47"/>
    <s v="Adults (35-64)"/>
    <s v="F"/>
    <s v="Canada"/>
    <s v="British Columbia"/>
    <s v="Accessories"/>
    <s v="Bike Racks"/>
    <s v="Hitch Rack - 4-Bike"/>
    <n v="24"/>
    <n v="45"/>
    <n v="120"/>
    <n v="1771"/>
    <n v="1080"/>
    <n v="2851"/>
  </r>
  <r>
    <x v="33"/>
    <n v="23"/>
    <x v="2"/>
    <x v="3"/>
    <n v="47"/>
    <s v="Adults (35-64)"/>
    <s v="F"/>
    <s v="Canada"/>
    <s v="British Columbia"/>
    <s v="Accessories"/>
    <s v="Bike Racks"/>
    <s v="Hitch Rack - 4-Bike"/>
    <n v="23"/>
    <n v="45"/>
    <n v="120"/>
    <n v="1697"/>
    <n v="1035"/>
    <n v="2732"/>
  </r>
  <r>
    <x v="34"/>
    <n v="19"/>
    <x v="4"/>
    <x v="0"/>
    <n v="32"/>
    <s v="Young Adults (25-34)"/>
    <s v="F"/>
    <s v="United States"/>
    <s v="Oregon"/>
    <s v="Accessories"/>
    <s v="Bike Racks"/>
    <s v="Hitch Rack - 4-Bike"/>
    <n v="9"/>
    <n v="45"/>
    <n v="120"/>
    <n v="524"/>
    <n v="405"/>
    <n v="929"/>
  </r>
  <r>
    <x v="35"/>
    <n v="19"/>
    <x v="4"/>
    <x v="1"/>
    <n v="32"/>
    <s v="Young Adults (25-34)"/>
    <s v="F"/>
    <s v="United States"/>
    <s v="Oregon"/>
    <s v="Accessories"/>
    <s v="Bike Racks"/>
    <s v="Hitch Rack - 4-Bike"/>
    <n v="9"/>
    <n v="45"/>
    <n v="120"/>
    <n v="524"/>
    <n v="405"/>
    <n v="929"/>
  </r>
  <r>
    <x v="36"/>
    <n v="11"/>
    <x v="0"/>
    <x v="0"/>
    <n v="34"/>
    <s v="Young Adults (25-34)"/>
    <s v="M"/>
    <s v="Canada"/>
    <s v="British Columbia"/>
    <s v="Accessories"/>
    <s v="Bike Racks"/>
    <s v="Hitch Rack - 4-Bike"/>
    <n v="25"/>
    <n v="45"/>
    <n v="120"/>
    <n v="1845"/>
    <n v="1125"/>
    <n v="2970"/>
  </r>
  <r>
    <x v="37"/>
    <n v="11"/>
    <x v="0"/>
    <x v="1"/>
    <n v="34"/>
    <s v="Young Adults (25-34)"/>
    <s v="M"/>
    <s v="Canada"/>
    <s v="British Columbia"/>
    <s v="Accessories"/>
    <s v="Bike Racks"/>
    <s v="Hitch Rack - 4-Bike"/>
    <n v="23"/>
    <n v="45"/>
    <n v="120"/>
    <n v="1697"/>
    <n v="1035"/>
    <n v="2732"/>
  </r>
  <r>
    <x v="38"/>
    <n v="13"/>
    <x v="4"/>
    <x v="0"/>
    <n v="43"/>
    <s v="Adults (35-64)"/>
    <s v="F"/>
    <s v="United States"/>
    <s v="California"/>
    <s v="Accessories"/>
    <s v="Bike Racks"/>
    <s v="Hitch Rack - 4-Bike"/>
    <n v="10"/>
    <n v="45"/>
    <n v="120"/>
    <n v="726"/>
    <n v="450"/>
    <n v="1176"/>
  </r>
  <r>
    <x v="39"/>
    <n v="13"/>
    <x v="4"/>
    <x v="1"/>
    <n v="43"/>
    <s v="Adults (35-64)"/>
    <s v="F"/>
    <s v="United States"/>
    <s v="California"/>
    <s v="Accessories"/>
    <s v="Bike Racks"/>
    <s v="Hitch Rack - 4-Bike"/>
    <n v="10"/>
    <n v="45"/>
    <n v="120"/>
    <n v="726"/>
    <n v="450"/>
    <n v="1176"/>
  </r>
  <r>
    <x v="40"/>
    <n v="31"/>
    <x v="1"/>
    <x v="2"/>
    <n v="43"/>
    <s v="Adults (35-64)"/>
    <s v="F"/>
    <s v="United States"/>
    <s v="California"/>
    <s v="Accessories"/>
    <s v="Bike Racks"/>
    <s v="Hitch Rack - 4-Bike"/>
    <n v="11"/>
    <n v="45"/>
    <n v="120"/>
    <n v="799"/>
    <n v="495"/>
    <n v="1294"/>
  </r>
  <r>
    <x v="41"/>
    <n v="31"/>
    <x v="1"/>
    <x v="3"/>
    <n v="43"/>
    <s v="Adults (35-64)"/>
    <s v="F"/>
    <s v="United States"/>
    <s v="California"/>
    <s v="Accessories"/>
    <s v="Bike Racks"/>
    <s v="Hitch Rack - 4-Bike"/>
    <n v="11"/>
    <n v="45"/>
    <n v="120"/>
    <n v="799"/>
    <n v="495"/>
    <n v="1294"/>
  </r>
  <r>
    <x v="42"/>
    <n v="28"/>
    <x v="5"/>
    <x v="0"/>
    <n v="61"/>
    <s v="Adults (35-64)"/>
    <s v="M"/>
    <s v="United States"/>
    <s v="California"/>
    <s v="Accessories"/>
    <s v="Bike Racks"/>
    <s v="Hitch Rack - 4-Bike"/>
    <n v="8"/>
    <n v="45"/>
    <n v="120"/>
    <n v="581"/>
    <n v="360"/>
    <n v="941"/>
  </r>
  <r>
    <x v="43"/>
    <n v="28"/>
    <x v="5"/>
    <x v="1"/>
    <n v="61"/>
    <s v="Adults (35-64)"/>
    <s v="M"/>
    <s v="United States"/>
    <s v="California"/>
    <s v="Accessories"/>
    <s v="Bike Racks"/>
    <s v="Hitch Rack - 4-Bike"/>
    <n v="10"/>
    <n v="45"/>
    <n v="120"/>
    <n v="726"/>
    <n v="450"/>
    <n v="1176"/>
  </r>
  <r>
    <x v="44"/>
    <n v="27"/>
    <x v="5"/>
    <x v="0"/>
    <n v="57"/>
    <s v="Adults (35-64)"/>
    <s v="M"/>
    <s v="Canada"/>
    <s v="British Columbia"/>
    <s v="Accessories"/>
    <s v="Bike Racks"/>
    <s v="Hitch Rack - 4-Bike"/>
    <n v="2"/>
    <n v="45"/>
    <n v="120"/>
    <n v="148"/>
    <n v="90"/>
    <n v="238"/>
  </r>
  <r>
    <x v="45"/>
    <n v="17"/>
    <x v="0"/>
    <x v="0"/>
    <n v="29"/>
    <s v="Young Adults (25-34)"/>
    <s v="F"/>
    <s v="Canada"/>
    <s v="British Columbia"/>
    <s v="Accessories"/>
    <s v="Bike Racks"/>
    <s v="Hitch Rack - 4-Bike"/>
    <n v="12"/>
    <n v="45"/>
    <n v="120"/>
    <n v="886"/>
    <n v="540"/>
    <n v="1426"/>
  </r>
  <r>
    <x v="46"/>
    <n v="17"/>
    <x v="0"/>
    <x v="1"/>
    <n v="29"/>
    <s v="Young Adults (25-34)"/>
    <s v="F"/>
    <s v="Canada"/>
    <s v="British Columbia"/>
    <s v="Accessories"/>
    <s v="Bike Racks"/>
    <s v="Hitch Rack - 4-Bike"/>
    <n v="14"/>
    <n v="45"/>
    <n v="120"/>
    <n v="1033"/>
    <n v="630"/>
    <n v="1663"/>
  </r>
  <r>
    <x v="47"/>
    <n v="7"/>
    <x v="5"/>
    <x v="0"/>
    <n v="38"/>
    <s v="Adults (35-64)"/>
    <s v="M"/>
    <s v="Germany"/>
    <s v="Saarland"/>
    <s v="Accessories"/>
    <s v="Bike Racks"/>
    <s v="Hitch Rack - 4-Bike"/>
    <n v="3"/>
    <n v="45"/>
    <n v="120"/>
    <n v="160"/>
    <n v="135"/>
    <n v="295"/>
  </r>
  <r>
    <x v="48"/>
    <n v="7"/>
    <x v="5"/>
    <x v="1"/>
    <n v="38"/>
    <s v="Adults (35-64)"/>
    <s v="M"/>
    <s v="Germany"/>
    <s v="Saarland"/>
    <s v="Accessories"/>
    <s v="Bike Racks"/>
    <s v="Hitch Rack - 4-Bike"/>
    <n v="1"/>
    <n v="45"/>
    <n v="120"/>
    <n v="53"/>
    <n v="45"/>
    <n v="98"/>
  </r>
  <r>
    <x v="12"/>
    <n v="15"/>
    <x v="4"/>
    <x v="0"/>
    <n v="52"/>
    <s v="Adults (35-64)"/>
    <s v="F"/>
    <s v="France"/>
    <s v="Seine Saint Denis"/>
    <s v="Accessories"/>
    <s v="Bike Racks"/>
    <s v="Hitch Rack - 4-Bike"/>
    <n v="8"/>
    <n v="45"/>
    <n v="120"/>
    <n v="427"/>
    <n v="360"/>
    <n v="787"/>
  </r>
  <r>
    <x v="13"/>
    <n v="15"/>
    <x v="4"/>
    <x v="1"/>
    <n v="52"/>
    <s v="Adults (35-64)"/>
    <s v="F"/>
    <s v="France"/>
    <s v="Seine Saint Denis"/>
    <s v="Accessories"/>
    <s v="Bike Racks"/>
    <s v="Hitch Rack - 4-Bike"/>
    <n v="8"/>
    <n v="45"/>
    <n v="120"/>
    <n v="427"/>
    <n v="360"/>
    <n v="787"/>
  </r>
  <r>
    <x v="49"/>
    <n v="17"/>
    <x v="5"/>
    <x v="0"/>
    <n v="43"/>
    <s v="Adults (35-64)"/>
    <s v="F"/>
    <s v="France"/>
    <s v="Moselle"/>
    <s v="Accessories"/>
    <s v="Bike Racks"/>
    <s v="Hitch Rack - 4-Bike"/>
    <n v="28"/>
    <n v="45"/>
    <n v="120"/>
    <n v="1697"/>
    <n v="1260"/>
    <n v="2957"/>
  </r>
  <r>
    <x v="50"/>
    <n v="17"/>
    <x v="5"/>
    <x v="1"/>
    <n v="43"/>
    <s v="Adults (35-64)"/>
    <s v="F"/>
    <s v="France"/>
    <s v="Moselle"/>
    <s v="Accessories"/>
    <s v="Bike Racks"/>
    <s v="Hitch Rack - 4-Bike"/>
    <n v="27"/>
    <n v="45"/>
    <n v="120"/>
    <n v="1636"/>
    <n v="1215"/>
    <n v="2851"/>
  </r>
  <r>
    <x v="51"/>
    <n v="17"/>
    <x v="4"/>
    <x v="0"/>
    <n v="24"/>
    <s v="Youth (&lt;25)"/>
    <s v="F"/>
    <s v="Australia"/>
    <s v="Queensland"/>
    <s v="Accessories"/>
    <s v="Bike Racks"/>
    <s v="Hitch Rack - 4-Bike"/>
    <n v="9"/>
    <n v="45"/>
    <n v="120"/>
    <n v="502"/>
    <n v="405"/>
    <n v="907"/>
  </r>
  <r>
    <x v="52"/>
    <n v="17"/>
    <x v="4"/>
    <x v="1"/>
    <n v="24"/>
    <s v="Youth (&lt;25)"/>
    <s v="F"/>
    <s v="Australia"/>
    <s v="Queensland"/>
    <s v="Accessories"/>
    <s v="Bike Racks"/>
    <s v="Hitch Rack - 4-Bike"/>
    <n v="6"/>
    <n v="45"/>
    <n v="120"/>
    <n v="335"/>
    <n v="270"/>
    <n v="605"/>
  </r>
  <r>
    <x v="53"/>
    <n v="31"/>
    <x v="8"/>
    <x v="0"/>
    <n v="23"/>
    <s v="Youth (&lt;25)"/>
    <s v="M"/>
    <s v="United States"/>
    <s v="California"/>
    <s v="Accessories"/>
    <s v="Bike Racks"/>
    <s v="Hitch Rack - 4-Bike"/>
    <n v="6"/>
    <n v="45"/>
    <n v="120"/>
    <n v="436"/>
    <n v="270"/>
    <n v="706"/>
  </r>
  <r>
    <x v="54"/>
    <n v="31"/>
    <x v="8"/>
    <x v="1"/>
    <n v="23"/>
    <s v="Youth (&lt;25)"/>
    <s v="M"/>
    <s v="United States"/>
    <s v="California"/>
    <s v="Accessories"/>
    <s v="Bike Racks"/>
    <s v="Hitch Rack - 4-Bike"/>
    <n v="7"/>
    <n v="45"/>
    <n v="120"/>
    <n v="508"/>
    <n v="315"/>
    <n v="823"/>
  </r>
  <r>
    <x v="55"/>
    <n v="17"/>
    <x v="6"/>
    <x v="0"/>
    <n v="29"/>
    <s v="Young Adults (25-34)"/>
    <s v="F"/>
    <s v="United Kingdom"/>
    <s v="England"/>
    <s v="Accessories"/>
    <s v="Bike Racks"/>
    <s v="Hitch Rack - 4-Bike"/>
    <n v="15"/>
    <n v="45"/>
    <n v="120"/>
    <n v="1053"/>
    <n v="675"/>
    <n v="1728"/>
  </r>
  <r>
    <x v="56"/>
    <n v="17"/>
    <x v="6"/>
    <x v="1"/>
    <n v="29"/>
    <s v="Young Adults (25-34)"/>
    <s v="F"/>
    <s v="United Kingdom"/>
    <s v="England"/>
    <s v="Accessories"/>
    <s v="Bike Racks"/>
    <s v="Hitch Rack - 4-Bike"/>
    <n v="15"/>
    <n v="45"/>
    <n v="120"/>
    <n v="1053"/>
    <n v="675"/>
    <n v="1728"/>
  </r>
  <r>
    <x v="57"/>
    <n v="24"/>
    <x v="6"/>
    <x v="0"/>
    <n v="32"/>
    <s v="Young Adults (25-34)"/>
    <s v="M"/>
    <s v="France"/>
    <s v="Nord"/>
    <s v="Accessories"/>
    <s v="Bike Racks"/>
    <s v="Hitch Rack - 4-Bike"/>
    <n v="6"/>
    <n v="45"/>
    <n v="120"/>
    <n v="356"/>
    <n v="270"/>
    <n v="626"/>
  </r>
  <r>
    <x v="58"/>
    <n v="24"/>
    <x v="6"/>
    <x v="1"/>
    <n v="32"/>
    <s v="Young Adults (25-34)"/>
    <s v="M"/>
    <s v="France"/>
    <s v="Nord"/>
    <s v="Accessories"/>
    <s v="Bike Racks"/>
    <s v="Hitch Rack - 4-Bike"/>
    <n v="3"/>
    <n v="45"/>
    <n v="120"/>
    <n v="178"/>
    <n v="135"/>
    <n v="313"/>
  </r>
  <r>
    <x v="59"/>
    <n v="25"/>
    <x v="6"/>
    <x v="0"/>
    <n v="19"/>
    <s v="Youth (&lt;25)"/>
    <s v="F"/>
    <s v="Germany"/>
    <s v="Saarland"/>
    <s v="Accessories"/>
    <s v="Bike Racks"/>
    <s v="Hitch Rack - 4-Bike"/>
    <n v="6"/>
    <n v="45"/>
    <n v="120"/>
    <n v="320"/>
    <n v="270"/>
    <n v="590"/>
  </r>
  <r>
    <x v="60"/>
    <n v="25"/>
    <x v="6"/>
    <x v="1"/>
    <n v="19"/>
    <s v="Youth (&lt;25)"/>
    <s v="F"/>
    <s v="Germany"/>
    <s v="Saarland"/>
    <s v="Accessories"/>
    <s v="Bike Racks"/>
    <s v="Hitch Rack - 4-Bike"/>
    <n v="8"/>
    <n v="45"/>
    <n v="120"/>
    <n v="427"/>
    <n v="360"/>
    <n v="787"/>
  </r>
  <r>
    <x v="0"/>
    <n v="26"/>
    <x v="0"/>
    <x v="0"/>
    <n v="26"/>
    <s v="Young Adults (25-34)"/>
    <s v="F"/>
    <s v="Canada"/>
    <s v="British Columbia"/>
    <s v="Accessories"/>
    <s v="Bike Racks"/>
    <s v="Hitch Rack - 4-Bike"/>
    <n v="7"/>
    <n v="45"/>
    <n v="120"/>
    <n v="517"/>
    <n v="315"/>
    <n v="832"/>
  </r>
  <r>
    <x v="61"/>
    <n v="3"/>
    <x v="5"/>
    <x v="0"/>
    <n v="35"/>
    <s v="Adults (35-64)"/>
    <s v="M"/>
    <s v="Canada"/>
    <s v="British Columbia"/>
    <s v="Accessories"/>
    <s v="Bike Racks"/>
    <s v="Hitch Rack - 4-Bike"/>
    <n v="1"/>
    <n v="45"/>
    <n v="120"/>
    <n v="74"/>
    <n v="45"/>
    <n v="119"/>
  </r>
  <r>
    <x v="62"/>
    <n v="19"/>
    <x v="9"/>
    <x v="2"/>
    <n v="35"/>
    <s v="Adults (35-64)"/>
    <s v="M"/>
    <s v="Canada"/>
    <s v="British Columbia"/>
    <s v="Accessories"/>
    <s v="Bike Racks"/>
    <s v="Hitch Rack - 4-Bike"/>
    <n v="10"/>
    <n v="45"/>
    <n v="120"/>
    <n v="738"/>
    <n v="450"/>
    <n v="1188"/>
  </r>
  <r>
    <x v="63"/>
    <n v="19"/>
    <x v="9"/>
    <x v="3"/>
    <n v="35"/>
    <s v="Adults (35-64)"/>
    <s v="M"/>
    <s v="Canada"/>
    <s v="British Columbia"/>
    <s v="Accessories"/>
    <s v="Bike Racks"/>
    <s v="Hitch Rack - 4-Bike"/>
    <n v="12"/>
    <n v="45"/>
    <n v="120"/>
    <n v="886"/>
    <n v="540"/>
    <n v="1426"/>
  </r>
  <r>
    <x v="64"/>
    <n v="4"/>
    <x v="1"/>
    <x v="2"/>
    <n v="38"/>
    <s v="Adults (35-64)"/>
    <s v="F"/>
    <s v="United States"/>
    <s v="California"/>
    <s v="Accessories"/>
    <s v="Bike Racks"/>
    <s v="Hitch Rack - 4-Bike"/>
    <n v="4"/>
    <n v="45"/>
    <n v="120"/>
    <n v="290"/>
    <n v="180"/>
    <n v="470"/>
  </r>
  <r>
    <x v="65"/>
    <n v="4"/>
    <x v="1"/>
    <x v="3"/>
    <n v="38"/>
    <s v="Adults (35-64)"/>
    <s v="F"/>
    <s v="United States"/>
    <s v="California"/>
    <s v="Accessories"/>
    <s v="Bike Racks"/>
    <s v="Hitch Rack - 4-Bike"/>
    <n v="3"/>
    <n v="45"/>
    <n v="120"/>
    <n v="218"/>
    <n v="135"/>
    <n v="353"/>
  </r>
  <r>
    <x v="66"/>
    <n v="30"/>
    <x v="2"/>
    <x v="2"/>
    <n v="38"/>
    <s v="Adults (35-64)"/>
    <s v="F"/>
    <s v="United States"/>
    <s v="California"/>
    <s v="Accessories"/>
    <s v="Bike Racks"/>
    <s v="Hitch Rack - 4-Bike"/>
    <n v="2"/>
    <n v="45"/>
    <n v="120"/>
    <n v="145"/>
    <n v="90"/>
    <n v="235"/>
  </r>
  <r>
    <x v="67"/>
    <n v="30"/>
    <x v="2"/>
    <x v="3"/>
    <n v="38"/>
    <s v="Adults (35-64)"/>
    <s v="F"/>
    <s v="United States"/>
    <s v="California"/>
    <s v="Accessories"/>
    <s v="Bike Racks"/>
    <s v="Hitch Rack - 4-Bike"/>
    <n v="2"/>
    <n v="45"/>
    <n v="120"/>
    <n v="145"/>
    <n v="90"/>
    <n v="235"/>
  </r>
  <r>
    <x v="68"/>
    <n v="28"/>
    <x v="9"/>
    <x v="2"/>
    <n v="38"/>
    <s v="Adults (35-64)"/>
    <s v="F"/>
    <s v="United States"/>
    <s v="California"/>
    <s v="Accessories"/>
    <s v="Bike Racks"/>
    <s v="Hitch Rack - 4-Bike"/>
    <n v="10"/>
    <n v="45"/>
    <n v="120"/>
    <n v="726"/>
    <n v="450"/>
    <n v="1176"/>
  </r>
  <r>
    <x v="69"/>
    <n v="28"/>
    <x v="9"/>
    <x v="3"/>
    <n v="38"/>
    <s v="Adults (35-64)"/>
    <s v="F"/>
    <s v="United States"/>
    <s v="California"/>
    <s v="Accessories"/>
    <s v="Bike Racks"/>
    <s v="Hitch Rack - 4-Bike"/>
    <n v="7"/>
    <n v="45"/>
    <n v="120"/>
    <n v="508"/>
    <n v="315"/>
    <n v="823"/>
  </r>
  <r>
    <x v="70"/>
    <n v="10"/>
    <x v="4"/>
    <x v="2"/>
    <n v="38"/>
    <s v="Adults (35-64)"/>
    <s v="F"/>
    <s v="United States"/>
    <s v="California"/>
    <s v="Accessories"/>
    <s v="Bike Racks"/>
    <s v="Hitch Rack - 4-Bike"/>
    <n v="13"/>
    <n v="45"/>
    <n v="120"/>
    <n v="944"/>
    <n v="585"/>
    <n v="1529"/>
  </r>
  <r>
    <x v="71"/>
    <n v="10"/>
    <x v="4"/>
    <x v="3"/>
    <n v="38"/>
    <s v="Adults (35-64)"/>
    <s v="F"/>
    <s v="United States"/>
    <s v="California"/>
    <s v="Accessories"/>
    <s v="Bike Racks"/>
    <s v="Hitch Rack - 4-Bike"/>
    <n v="12"/>
    <n v="45"/>
    <n v="120"/>
    <n v="871"/>
    <n v="540"/>
    <n v="1411"/>
  </r>
  <r>
    <x v="72"/>
    <n v="12"/>
    <x v="1"/>
    <x v="2"/>
    <n v="54"/>
    <s v="Adults (35-64)"/>
    <s v="F"/>
    <s v="Australia"/>
    <s v="Queensland"/>
    <s v="Accessories"/>
    <s v="Bike Racks"/>
    <s v="Hitch Rack - 4-Bike"/>
    <n v="7"/>
    <n v="45"/>
    <n v="120"/>
    <n v="391"/>
    <n v="315"/>
    <n v="706"/>
  </r>
  <r>
    <x v="73"/>
    <n v="12"/>
    <x v="1"/>
    <x v="3"/>
    <n v="54"/>
    <s v="Adults (35-64)"/>
    <s v="F"/>
    <s v="Australia"/>
    <s v="Queensland"/>
    <s v="Accessories"/>
    <s v="Bike Racks"/>
    <s v="Hitch Rack - 4-Bike"/>
    <n v="6"/>
    <n v="45"/>
    <n v="120"/>
    <n v="335"/>
    <n v="270"/>
    <n v="605"/>
  </r>
  <r>
    <x v="74"/>
    <n v="3"/>
    <x v="6"/>
    <x v="0"/>
    <n v="51"/>
    <s v="Adults (35-64)"/>
    <s v="F"/>
    <s v="United States"/>
    <s v="Washington"/>
    <s v="Accessories"/>
    <s v="Bike Racks"/>
    <s v="Hitch Rack - 4-Bike"/>
    <n v="7"/>
    <n v="45"/>
    <n v="120"/>
    <n v="340"/>
    <n v="315"/>
    <n v="655"/>
  </r>
  <r>
    <x v="75"/>
    <n v="3"/>
    <x v="6"/>
    <x v="1"/>
    <n v="51"/>
    <s v="Adults (35-64)"/>
    <s v="F"/>
    <s v="United States"/>
    <s v="Washington"/>
    <s v="Accessories"/>
    <s v="Bike Racks"/>
    <s v="Hitch Rack - 4-Bike"/>
    <n v="9"/>
    <n v="45"/>
    <n v="120"/>
    <n v="437"/>
    <n v="405"/>
    <n v="842"/>
  </r>
  <r>
    <x v="76"/>
    <n v="26"/>
    <x v="1"/>
    <x v="2"/>
    <n v="47"/>
    <s v="Adults (35-64)"/>
    <s v="F"/>
    <s v="United States"/>
    <s v="California"/>
    <s v="Accessories"/>
    <s v="Bike Racks"/>
    <s v="Hitch Rack - 4-Bike"/>
    <n v="6"/>
    <n v="45"/>
    <n v="120"/>
    <n v="436"/>
    <n v="270"/>
    <n v="706"/>
  </r>
  <r>
    <x v="77"/>
    <n v="26"/>
    <x v="1"/>
    <x v="3"/>
    <n v="47"/>
    <s v="Adults (35-64)"/>
    <s v="F"/>
    <s v="United States"/>
    <s v="California"/>
    <s v="Accessories"/>
    <s v="Bike Racks"/>
    <s v="Hitch Rack - 4-Bike"/>
    <n v="4"/>
    <n v="45"/>
    <n v="120"/>
    <n v="290"/>
    <n v="180"/>
    <n v="470"/>
  </r>
  <r>
    <x v="78"/>
    <n v="4"/>
    <x v="2"/>
    <x v="2"/>
    <n v="47"/>
    <s v="Adults (35-64)"/>
    <s v="F"/>
    <s v="United States"/>
    <s v="California"/>
    <s v="Accessories"/>
    <s v="Bike Racks"/>
    <s v="Hitch Rack - 4-Bike"/>
    <n v="17"/>
    <n v="45"/>
    <n v="120"/>
    <n v="1234"/>
    <n v="765"/>
    <n v="1999"/>
  </r>
  <r>
    <x v="79"/>
    <n v="4"/>
    <x v="2"/>
    <x v="3"/>
    <n v="47"/>
    <s v="Adults (35-64)"/>
    <s v="F"/>
    <s v="United States"/>
    <s v="California"/>
    <s v="Accessories"/>
    <s v="Bike Racks"/>
    <s v="Hitch Rack - 4-Bike"/>
    <n v="16"/>
    <n v="45"/>
    <n v="120"/>
    <n v="1162"/>
    <n v="720"/>
    <n v="1882"/>
  </r>
  <r>
    <x v="80"/>
    <n v="4"/>
    <x v="3"/>
    <x v="2"/>
    <n v="46"/>
    <s v="Adults (35-64)"/>
    <s v="M"/>
    <s v="United States"/>
    <s v="Washington"/>
    <s v="Accessories"/>
    <s v="Bike Racks"/>
    <s v="Hitch Rack - 4-Bike"/>
    <n v="1"/>
    <n v="45"/>
    <n v="120"/>
    <n v="49"/>
    <n v="45"/>
    <n v="94"/>
  </r>
  <r>
    <x v="81"/>
    <n v="4"/>
    <x v="3"/>
    <x v="3"/>
    <n v="46"/>
    <s v="Adults (35-64)"/>
    <s v="M"/>
    <s v="United States"/>
    <s v="Washington"/>
    <s v="Accessories"/>
    <s v="Bike Racks"/>
    <s v="Hitch Rack - 4-Bike"/>
    <n v="3"/>
    <n v="45"/>
    <n v="120"/>
    <n v="146"/>
    <n v="135"/>
    <n v="281"/>
  </r>
  <r>
    <x v="82"/>
    <n v="6"/>
    <x v="0"/>
    <x v="0"/>
    <n v="46"/>
    <s v="Adults (35-64)"/>
    <s v="M"/>
    <s v="United States"/>
    <s v="California"/>
    <s v="Accessories"/>
    <s v="Bike Racks"/>
    <s v="Hitch Rack - 4-Bike"/>
    <n v="5"/>
    <n v="45"/>
    <n v="120"/>
    <n v="363"/>
    <n v="225"/>
    <n v="588"/>
  </r>
  <r>
    <x v="83"/>
    <n v="6"/>
    <x v="0"/>
    <x v="1"/>
    <n v="46"/>
    <s v="Adults (35-64)"/>
    <s v="M"/>
    <s v="United States"/>
    <s v="California"/>
    <s v="Accessories"/>
    <s v="Bike Racks"/>
    <s v="Hitch Rack - 4-Bike"/>
    <n v="4"/>
    <n v="45"/>
    <n v="120"/>
    <n v="290"/>
    <n v="180"/>
    <n v="470"/>
  </r>
  <r>
    <x v="84"/>
    <n v="12"/>
    <x v="3"/>
    <x v="2"/>
    <n v="46"/>
    <s v="Adults (35-64)"/>
    <s v="M"/>
    <s v="United States"/>
    <s v="California"/>
    <s v="Accessories"/>
    <s v="Bike Racks"/>
    <s v="Hitch Rack - 4-Bike"/>
    <n v="30"/>
    <n v="45"/>
    <n v="120"/>
    <n v="2178"/>
    <n v="1350"/>
    <n v="3528"/>
  </r>
  <r>
    <x v="85"/>
    <n v="12"/>
    <x v="3"/>
    <x v="3"/>
    <n v="46"/>
    <s v="Adults (35-64)"/>
    <s v="M"/>
    <s v="United States"/>
    <s v="California"/>
    <s v="Accessories"/>
    <s v="Bike Racks"/>
    <s v="Hitch Rack - 4-Bike"/>
    <n v="27"/>
    <n v="45"/>
    <n v="120"/>
    <n v="1960"/>
    <n v="1215"/>
    <n v="3175"/>
  </r>
  <r>
    <x v="20"/>
    <n v="17"/>
    <x v="2"/>
    <x v="2"/>
    <n v="46"/>
    <s v="Adults (35-64)"/>
    <s v="M"/>
    <s v="United States"/>
    <s v="California"/>
    <s v="Accessories"/>
    <s v="Bike Racks"/>
    <s v="Hitch Rack - 4-Bike"/>
    <n v="5"/>
    <n v="45"/>
    <n v="120"/>
    <n v="363"/>
    <n v="225"/>
    <n v="588"/>
  </r>
  <r>
    <x v="86"/>
    <n v="23"/>
    <x v="6"/>
    <x v="0"/>
    <n v="41"/>
    <s v="Adults (35-64)"/>
    <s v="F"/>
    <s v="Germany"/>
    <s v="Hessen"/>
    <s v="Accessories"/>
    <s v="Bike Racks"/>
    <s v="Hitch Rack - 4-Bike"/>
    <n v="28"/>
    <n v="45"/>
    <n v="120"/>
    <n v="1865"/>
    <n v="1260"/>
    <n v="3125"/>
  </r>
  <r>
    <x v="87"/>
    <n v="23"/>
    <x v="6"/>
    <x v="1"/>
    <n v="41"/>
    <s v="Adults (35-64)"/>
    <s v="F"/>
    <s v="Germany"/>
    <s v="Hessen"/>
    <s v="Accessories"/>
    <s v="Bike Racks"/>
    <s v="Hitch Rack - 4-Bike"/>
    <n v="29"/>
    <n v="45"/>
    <n v="120"/>
    <n v="1931"/>
    <n v="1305"/>
    <n v="3236"/>
  </r>
  <r>
    <x v="88"/>
    <n v="20"/>
    <x v="6"/>
    <x v="0"/>
    <n v="32"/>
    <s v="Young Adults (25-34)"/>
    <s v="M"/>
    <s v="United States"/>
    <s v="Washington"/>
    <s v="Accessories"/>
    <s v="Bike Racks"/>
    <s v="Hitch Rack - 4-Bike"/>
    <n v="3"/>
    <n v="45"/>
    <n v="120"/>
    <n v="146"/>
    <n v="135"/>
    <n v="281"/>
  </r>
  <r>
    <x v="89"/>
    <n v="20"/>
    <x v="6"/>
    <x v="1"/>
    <n v="32"/>
    <s v="Young Adults (25-34)"/>
    <s v="M"/>
    <s v="United States"/>
    <s v="Washington"/>
    <s v="Accessories"/>
    <s v="Bike Racks"/>
    <s v="Hitch Rack - 4-Bike"/>
    <n v="1"/>
    <n v="45"/>
    <n v="120"/>
    <n v="49"/>
    <n v="45"/>
    <n v="94"/>
  </r>
  <r>
    <x v="90"/>
    <n v="25"/>
    <x v="10"/>
    <x v="0"/>
    <n v="32"/>
    <s v="Young Adults (25-34)"/>
    <s v="M"/>
    <s v="United States"/>
    <s v="California"/>
    <s v="Accessories"/>
    <s v="Bike Racks"/>
    <s v="Hitch Rack - 4-Bike"/>
    <n v="8"/>
    <n v="45"/>
    <n v="120"/>
    <n v="581"/>
    <n v="360"/>
    <n v="9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8"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M9" firstHeaderRow="1" firstDataRow="2" firstDataCol="1"/>
  <pivotFields count="18">
    <pivotField numFmtId="14" showAll="0">
      <items count="92">
        <item x="38"/>
        <item x="12"/>
        <item x="51"/>
        <item x="34"/>
        <item x="10"/>
        <item x="14"/>
        <item x="61"/>
        <item x="47"/>
        <item x="49"/>
        <item x="24"/>
        <item x="44"/>
        <item x="42"/>
        <item x="16"/>
        <item x="74"/>
        <item x="55"/>
        <item x="88"/>
        <item x="86"/>
        <item x="57"/>
        <item x="59"/>
        <item x="90"/>
        <item x="82"/>
        <item x="36"/>
        <item x="45"/>
        <item x="0"/>
        <item x="26"/>
        <item x="53"/>
        <item x="28"/>
        <item x="18"/>
        <item x="80"/>
        <item x="84"/>
        <item x="8"/>
        <item x="64"/>
        <item x="72"/>
        <item x="30"/>
        <item x="2"/>
        <item x="76"/>
        <item x="22"/>
        <item x="40"/>
        <item x="78"/>
        <item x="4"/>
        <item x="20"/>
        <item x="6"/>
        <item x="32"/>
        <item x="66"/>
        <item x="62"/>
        <item x="68"/>
        <item x="70"/>
        <item x="39"/>
        <item x="13"/>
        <item x="52"/>
        <item x="35"/>
        <item x="11"/>
        <item x="15"/>
        <item x="48"/>
        <item x="50"/>
        <item x="25"/>
        <item x="43"/>
        <item x="17"/>
        <item x="75"/>
        <item x="56"/>
        <item x="89"/>
        <item x="87"/>
        <item x="58"/>
        <item x="60"/>
        <item x="83"/>
        <item x="37"/>
        <item x="46"/>
        <item x="1"/>
        <item x="27"/>
        <item x="54"/>
        <item x="29"/>
        <item x="19"/>
        <item x="81"/>
        <item x="85"/>
        <item x="9"/>
        <item x="65"/>
        <item x="73"/>
        <item x="31"/>
        <item x="3"/>
        <item x="77"/>
        <item x="23"/>
        <item x="41"/>
        <item x="79"/>
        <item x="5"/>
        <item x="21"/>
        <item x="7"/>
        <item x="33"/>
        <item x="67"/>
        <item x="63"/>
        <item x="69"/>
        <item x="71"/>
        <item t="default"/>
      </items>
    </pivotField>
    <pivotField dataField="1" showAll="0"/>
    <pivotField axis="axisCol" showAll="0">
      <items count="12">
        <item x="7"/>
        <item x="3"/>
        <item x="1"/>
        <item x="2"/>
        <item x="9"/>
        <item x="4"/>
        <item x="5"/>
        <item x="6"/>
        <item x="10"/>
        <item x="0"/>
        <item x="8"/>
        <item t="default"/>
      </items>
    </pivotField>
    <pivotField axis="axisRow"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Fields count="1">
    <field x="2"/>
  </colFields>
  <colItems count="12">
    <i>
      <x/>
    </i>
    <i>
      <x v="1"/>
    </i>
    <i>
      <x v="2"/>
    </i>
    <i>
      <x v="3"/>
    </i>
    <i>
      <x v="4"/>
    </i>
    <i>
      <x v="5"/>
    </i>
    <i>
      <x v="6"/>
    </i>
    <i>
      <x v="7"/>
    </i>
    <i>
      <x v="8"/>
    </i>
    <i>
      <x v="9"/>
    </i>
    <i>
      <x v="10"/>
    </i>
    <i t="grand">
      <x/>
    </i>
  </colItems>
  <dataFields count="1">
    <dataField name="Sum of Day" fld="1" baseField="0" baseItem="0"/>
  </dataFields>
  <formats count="27">
    <format dxfId="26">
      <pivotArea type="all" dataOnly="0" outline="0" fieldPosition="0"/>
    </format>
    <format dxfId="25">
      <pivotArea outline="0" collapsedLevelsAreSubtotals="1" fieldPosition="0"/>
    </format>
    <format dxfId="24">
      <pivotArea type="origin" dataOnly="0" labelOnly="1" outline="0" fieldPosition="0"/>
    </format>
    <format dxfId="23">
      <pivotArea field="2" type="button" dataOnly="0" labelOnly="1" outline="0" axis="axisCol" fieldPosition="0"/>
    </format>
    <format dxfId="22">
      <pivotArea type="topRight" dataOnly="0" labelOnly="1" outline="0" fieldPosition="0"/>
    </format>
    <format dxfId="21">
      <pivotArea field="3" type="button" dataOnly="0" labelOnly="1" outline="0" axis="axisRow" fieldPosition="0"/>
    </format>
    <format dxfId="20">
      <pivotArea dataOnly="0" labelOnly="1" fieldPosition="0">
        <references count="1">
          <reference field="3" count="0"/>
        </references>
      </pivotArea>
    </format>
    <format dxfId="19">
      <pivotArea dataOnly="0" labelOnly="1" grandRow="1" outline="0" fieldPosition="0"/>
    </format>
    <format dxfId="18">
      <pivotArea dataOnly="0" labelOnly="1" fieldPosition="0">
        <references count="1">
          <reference field="2" count="0"/>
        </references>
      </pivotArea>
    </format>
    <format dxfId="17">
      <pivotArea dataOnly="0" labelOnly="1" grandCol="1" outline="0" fieldPosition="0"/>
    </format>
    <format dxfId="16">
      <pivotArea type="all" dataOnly="0" outline="0" fieldPosition="0"/>
    </format>
    <format dxfId="15">
      <pivotArea outline="0" collapsedLevelsAreSubtotals="1" fieldPosition="0"/>
    </format>
    <format dxfId="14">
      <pivotArea type="origin" dataOnly="0" labelOnly="1" outline="0" fieldPosition="0"/>
    </format>
    <format dxfId="13">
      <pivotArea field="2" type="button" dataOnly="0" labelOnly="1" outline="0" axis="axisCol" fieldPosition="0"/>
    </format>
    <format dxfId="12">
      <pivotArea type="topRight" dataOnly="0" labelOnly="1" outline="0" fieldPosition="0"/>
    </format>
    <format dxfId="11">
      <pivotArea field="3" type="button" dataOnly="0" labelOnly="1" outline="0" axis="axisRow" fieldPosition="0"/>
    </format>
    <format dxfId="10">
      <pivotArea dataOnly="0" labelOnly="1" fieldPosition="0">
        <references count="1">
          <reference field="3" count="0"/>
        </references>
      </pivotArea>
    </format>
    <format dxfId="9">
      <pivotArea dataOnly="0" labelOnly="1" grandRow="1" outline="0" fieldPosition="0"/>
    </format>
    <format dxfId="8">
      <pivotArea dataOnly="0" labelOnly="1" fieldPosition="0">
        <references count="1">
          <reference field="2" count="0"/>
        </references>
      </pivotArea>
    </format>
    <format dxfId="7">
      <pivotArea dataOnly="0" labelOnly="1" grandCol="1" outline="0" fieldPosition="0"/>
    </format>
    <format dxfId="6">
      <pivotArea field="3" type="button" dataOnly="0" labelOnly="1" outline="0" axis="axisRow" fieldPosition="0"/>
    </format>
    <format dxfId="5">
      <pivotArea dataOnly="0" labelOnly="1" fieldPosition="0">
        <references count="1">
          <reference field="2" count="0"/>
        </references>
      </pivotArea>
    </format>
    <format dxfId="4">
      <pivotArea dataOnly="0" labelOnly="1" grandCol="1" outline="0" fieldPosition="0"/>
    </format>
    <format dxfId="3">
      <pivotArea type="origin" dataOnly="0" labelOnly="1" outline="0" fieldPosition="0"/>
    </format>
    <format dxfId="2">
      <pivotArea field="2" type="button" dataOnly="0" labelOnly="1" outline="0" axis="axisCol" fieldPosition="0"/>
    </format>
    <format dxfId="1">
      <pivotArea type="topRight" dataOnly="0" labelOnly="1" outline="0" offset="A1" fieldPosition="0"/>
    </format>
    <format dxfId="0">
      <pivotArea dataOnly="0" grandRow="1" axis="axisRow" fieldPosition="0"/>
    </format>
  </formats>
  <conditionalFormats count="1">
    <conditionalFormat priority="1">
      <pivotAreas count="1">
        <pivotArea type="data" collapsedLevelsAreSubtotals="1" fieldPosition="0">
          <references count="3">
            <reference field="4294967294" count="1" selected="0">
              <x v="0"/>
            </reference>
            <reference field="2" count="1" selected="0">
              <x v="0"/>
            </reference>
            <reference field="3" count="1">
              <x v="3"/>
            </reference>
          </references>
        </pivotArea>
      </pivotAreas>
    </conditionalFormat>
  </conditionalFormats>
  <chartFormats count="4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0" format="8" series="1">
      <pivotArea type="data" outline="0" fieldPosition="0">
        <references count="2">
          <reference field="4294967294" count="1" selected="0">
            <x v="0"/>
          </reference>
          <reference field="2" count="1" selected="0">
            <x v="8"/>
          </reference>
        </references>
      </pivotArea>
    </chartFormat>
    <chartFormat chart="0" format="9" series="1">
      <pivotArea type="data" outline="0" fieldPosition="0">
        <references count="2">
          <reference field="4294967294" count="1" selected="0">
            <x v="0"/>
          </reference>
          <reference field="2" count="1" selected="0">
            <x v="9"/>
          </reference>
        </references>
      </pivotArea>
    </chartFormat>
    <chartFormat chart="0" format="10" series="1">
      <pivotArea type="data" outline="0" fieldPosition="0">
        <references count="2">
          <reference field="4294967294" count="1" selected="0">
            <x v="0"/>
          </reference>
          <reference field="2" count="1" selected="0">
            <x v="10"/>
          </reference>
        </references>
      </pivotArea>
    </chartFormat>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1" format="3" series="1">
      <pivotArea type="data" outline="0" fieldPosition="0">
        <references count="2">
          <reference field="4294967294" count="1" selected="0">
            <x v="0"/>
          </reference>
          <reference field="2" count="1" selected="0">
            <x v="3"/>
          </reference>
        </references>
      </pivotArea>
    </chartFormat>
    <chartFormat chart="1" format="4" series="1">
      <pivotArea type="data" outline="0" fieldPosition="0">
        <references count="2">
          <reference field="4294967294" count="1" selected="0">
            <x v="0"/>
          </reference>
          <reference field="2" count="1" selected="0">
            <x v="4"/>
          </reference>
        </references>
      </pivotArea>
    </chartFormat>
    <chartFormat chart="1" format="5" series="1">
      <pivotArea type="data" outline="0" fieldPosition="0">
        <references count="2">
          <reference field="4294967294" count="1" selected="0">
            <x v="0"/>
          </reference>
          <reference field="2" count="1" selected="0">
            <x v="5"/>
          </reference>
        </references>
      </pivotArea>
    </chartFormat>
    <chartFormat chart="1" format="6" series="1">
      <pivotArea type="data" outline="0" fieldPosition="0">
        <references count="2">
          <reference field="4294967294" count="1" selected="0">
            <x v="0"/>
          </reference>
          <reference field="2" count="1" selected="0">
            <x v="6"/>
          </reference>
        </references>
      </pivotArea>
    </chartFormat>
    <chartFormat chart="1" format="7" series="1">
      <pivotArea type="data" outline="0" fieldPosition="0">
        <references count="2">
          <reference field="4294967294" count="1" selected="0">
            <x v="0"/>
          </reference>
          <reference field="2" count="1" selected="0">
            <x v="7"/>
          </reference>
        </references>
      </pivotArea>
    </chartFormat>
    <chartFormat chart="1" format="8" series="1">
      <pivotArea type="data" outline="0" fieldPosition="0">
        <references count="2">
          <reference field="4294967294" count="1" selected="0">
            <x v="0"/>
          </reference>
          <reference field="2" count="1" selected="0">
            <x v="8"/>
          </reference>
        </references>
      </pivotArea>
    </chartFormat>
    <chartFormat chart="1" format="9" series="1">
      <pivotArea type="data" outline="0" fieldPosition="0">
        <references count="2">
          <reference field="4294967294" count="1" selected="0">
            <x v="0"/>
          </reference>
          <reference field="2" count="1" selected="0">
            <x v="9"/>
          </reference>
        </references>
      </pivotArea>
    </chartFormat>
    <chartFormat chart="1" format="10" series="1">
      <pivotArea type="data" outline="0" fieldPosition="0">
        <references count="2">
          <reference field="4294967294" count="1" selected="0">
            <x v="0"/>
          </reference>
          <reference field="2" count="1" selected="0">
            <x v="10"/>
          </reference>
        </references>
      </pivotArea>
    </chartFormat>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3"/>
          </reference>
        </references>
      </pivotArea>
    </chartFormat>
    <chartFormat chart="2" format="4" series="1">
      <pivotArea type="data" outline="0" fieldPosition="0">
        <references count="2">
          <reference field="4294967294" count="1" selected="0">
            <x v="0"/>
          </reference>
          <reference field="2" count="1" selected="0">
            <x v="4"/>
          </reference>
        </references>
      </pivotArea>
    </chartFormat>
    <chartFormat chart="2" format="5" series="1">
      <pivotArea type="data" outline="0" fieldPosition="0">
        <references count="2">
          <reference field="4294967294" count="1" selected="0">
            <x v="0"/>
          </reference>
          <reference field="2" count="1" selected="0">
            <x v="5"/>
          </reference>
        </references>
      </pivotArea>
    </chartFormat>
    <chartFormat chart="2" format="6" series="1">
      <pivotArea type="data" outline="0" fieldPosition="0">
        <references count="2">
          <reference field="4294967294" count="1" selected="0">
            <x v="0"/>
          </reference>
          <reference field="2" count="1" selected="0">
            <x v="6"/>
          </reference>
        </references>
      </pivotArea>
    </chartFormat>
    <chartFormat chart="2" format="7" series="1">
      <pivotArea type="data" outline="0" fieldPosition="0">
        <references count="2">
          <reference field="4294967294" count="1" selected="0">
            <x v="0"/>
          </reference>
          <reference field="2" count="1" selected="0">
            <x v="7"/>
          </reference>
        </references>
      </pivotArea>
    </chartFormat>
    <chartFormat chart="2" format="8" series="1">
      <pivotArea type="data" outline="0" fieldPosition="0">
        <references count="2">
          <reference field="4294967294" count="1" selected="0">
            <x v="0"/>
          </reference>
          <reference field="2" count="1" selected="0">
            <x v="8"/>
          </reference>
        </references>
      </pivotArea>
    </chartFormat>
    <chartFormat chart="2" format="9" series="1">
      <pivotArea type="data" outline="0" fieldPosition="0">
        <references count="2">
          <reference field="4294967294" count="1" selected="0">
            <x v="0"/>
          </reference>
          <reference field="2" count="1" selected="0">
            <x v="9"/>
          </reference>
        </references>
      </pivotArea>
    </chartFormat>
    <chartFormat chart="2" format="10" series="1">
      <pivotArea type="data" outline="0" fieldPosition="0">
        <references count="2">
          <reference field="4294967294" count="1" selected="0">
            <x v="0"/>
          </reference>
          <reference field="2" count="1" selected="0">
            <x v="10"/>
          </reference>
        </references>
      </pivotArea>
    </chartFormat>
    <chartFormat chart="3" format="0" series="1">
      <pivotArea type="data" outline="0" fieldPosition="0">
        <references count="2">
          <reference field="4294967294" count="1" selected="0">
            <x v="0"/>
          </reference>
          <reference field="2" count="1" selected="0">
            <x v="0"/>
          </reference>
        </references>
      </pivotArea>
    </chartFormat>
    <chartFormat chart="3" format="1" series="1">
      <pivotArea type="data" outline="0" fieldPosition="0">
        <references count="2">
          <reference field="4294967294" count="1" selected="0">
            <x v="0"/>
          </reference>
          <reference field="2" count="1" selected="0">
            <x v="1"/>
          </reference>
        </references>
      </pivotArea>
    </chartFormat>
    <chartFormat chart="3" format="2" series="1">
      <pivotArea type="data" outline="0" fieldPosition="0">
        <references count="2">
          <reference field="4294967294" count="1" selected="0">
            <x v="0"/>
          </reference>
          <reference field="2" count="1" selected="0">
            <x v="2"/>
          </reference>
        </references>
      </pivotArea>
    </chartFormat>
    <chartFormat chart="3" format="3" series="1">
      <pivotArea type="data" outline="0" fieldPosition="0">
        <references count="2">
          <reference field="4294967294" count="1" selected="0">
            <x v="0"/>
          </reference>
          <reference field="2" count="1" selected="0">
            <x v="3"/>
          </reference>
        </references>
      </pivotArea>
    </chartFormat>
    <chartFormat chart="3" format="4" series="1">
      <pivotArea type="data" outline="0" fieldPosition="0">
        <references count="2">
          <reference field="4294967294" count="1" selected="0">
            <x v="0"/>
          </reference>
          <reference field="2" count="1" selected="0">
            <x v="4"/>
          </reference>
        </references>
      </pivotArea>
    </chartFormat>
    <chartFormat chart="3" format="5" series="1">
      <pivotArea type="data" outline="0" fieldPosition="0">
        <references count="2">
          <reference field="4294967294" count="1" selected="0">
            <x v="0"/>
          </reference>
          <reference field="2" count="1" selected="0">
            <x v="5"/>
          </reference>
        </references>
      </pivotArea>
    </chartFormat>
    <chartFormat chart="3" format="6" series="1">
      <pivotArea type="data" outline="0" fieldPosition="0">
        <references count="2">
          <reference field="4294967294" count="1" selected="0">
            <x v="0"/>
          </reference>
          <reference field="2" count="1" selected="0">
            <x v="6"/>
          </reference>
        </references>
      </pivotArea>
    </chartFormat>
    <chartFormat chart="3" format="7" series="1">
      <pivotArea type="data" outline="0" fieldPosition="0">
        <references count="2">
          <reference field="4294967294" count="1" selected="0">
            <x v="0"/>
          </reference>
          <reference field="2" count="1" selected="0">
            <x v="7"/>
          </reference>
        </references>
      </pivotArea>
    </chartFormat>
    <chartFormat chart="3" format="8" series="1">
      <pivotArea type="data" outline="0" fieldPosition="0">
        <references count="2">
          <reference field="4294967294" count="1" selected="0">
            <x v="0"/>
          </reference>
          <reference field="2" count="1" selected="0">
            <x v="8"/>
          </reference>
        </references>
      </pivotArea>
    </chartFormat>
    <chartFormat chart="3" format="9" series="1">
      <pivotArea type="data" outline="0" fieldPosition="0">
        <references count="2">
          <reference field="4294967294" count="1" selected="0">
            <x v="0"/>
          </reference>
          <reference field="2" count="1" selected="0">
            <x v="9"/>
          </reference>
        </references>
      </pivotArea>
    </chartFormat>
    <chartFormat chart="3" format="10" series="1">
      <pivotArea type="data" outline="0" fieldPosition="0">
        <references count="2">
          <reference field="4294967294" count="1" selected="0">
            <x v="0"/>
          </reference>
          <reference field="2"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3" name="PivotTable1"/>
  </pivotTables>
  <data>
    <tabular pivotCacheId="1">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3" name="PivotTable1"/>
  </pivotTables>
  <state minimalRefreshVersion="6" lastRefreshVersion="6" pivotCacheId="1" filterType="unknown">
    <bounds startDate="2013-01-01T00:00:00" endDate="201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NativeTimeline_Date" caption="Date" level="2" selectionLevel="2" scrollPosition="2016-06-07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R101"/>
  <sheetViews>
    <sheetView topLeftCell="A21" workbookViewId="0">
      <selection activeCell="R1" sqref="A1:R1"/>
    </sheetView>
  </sheetViews>
  <sheetFormatPr defaultRowHeight="15" x14ac:dyDescent="0.25"/>
  <cols>
    <col min="1" max="1" width="14" customWidth="1"/>
    <col min="2" max="2" width="13.28515625" customWidth="1"/>
    <col min="3" max="3" width="13.140625" customWidth="1"/>
    <col min="4" max="4" width="15.5703125" customWidth="1"/>
    <col min="5" max="5" width="15.42578125" customWidth="1"/>
    <col min="6" max="6" width="14" customWidth="1"/>
    <col min="7" max="7" width="17.42578125" customWidth="1"/>
    <col min="8" max="9" width="13.5703125" customWidth="1"/>
    <col min="10" max="10" width="17.85546875" customWidth="1"/>
    <col min="11" max="11" width="16.28515625" customWidth="1"/>
    <col min="12" max="12" width="12.28515625" customWidth="1"/>
    <col min="13" max="13" width="15.28515625" customWidth="1"/>
    <col min="14" max="14" width="10.42578125" customWidth="1"/>
    <col min="15" max="15" width="13.140625" customWidth="1"/>
    <col min="16" max="16" width="12.7109375" customWidth="1"/>
    <col min="17" max="17" width="10.7109375" customWidth="1"/>
  </cols>
  <sheetData>
    <row r="1" spans="1:18" x14ac:dyDescent="0.25">
      <c r="A1" s="16"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row>
    <row r="2" spans="1:18" x14ac:dyDescent="0.25">
      <c r="A2" s="13">
        <v>41604</v>
      </c>
      <c r="B2" s="12">
        <v>26</v>
      </c>
      <c r="C2" s="12" t="s">
        <v>18</v>
      </c>
      <c r="D2" s="12">
        <v>2013</v>
      </c>
      <c r="E2" s="12">
        <v>19</v>
      </c>
      <c r="F2" s="12" t="s">
        <v>19</v>
      </c>
      <c r="G2" s="12" t="s">
        <v>20</v>
      </c>
      <c r="H2" s="12" t="s">
        <v>21</v>
      </c>
      <c r="I2" s="12" t="s">
        <v>22</v>
      </c>
      <c r="J2" s="12" t="s">
        <v>23</v>
      </c>
      <c r="K2" s="12" t="s">
        <v>24</v>
      </c>
      <c r="L2" s="12" t="s">
        <v>25</v>
      </c>
      <c r="M2" s="12">
        <v>8</v>
      </c>
      <c r="N2" s="12">
        <v>45</v>
      </c>
      <c r="O2" s="12">
        <v>120</v>
      </c>
      <c r="P2" s="12">
        <v>590</v>
      </c>
      <c r="Q2" s="12">
        <v>360</v>
      </c>
      <c r="R2" s="12">
        <v>950</v>
      </c>
    </row>
    <row r="3" spans="1:18" x14ac:dyDescent="0.25">
      <c r="A3" s="13">
        <v>42334</v>
      </c>
      <c r="B3" s="12">
        <v>26</v>
      </c>
      <c r="C3" s="12" t="s">
        <v>18</v>
      </c>
      <c r="D3" s="12">
        <v>2015</v>
      </c>
      <c r="E3" s="12">
        <v>19</v>
      </c>
      <c r="F3" s="12" t="s">
        <v>19</v>
      </c>
      <c r="G3" s="12" t="s">
        <v>20</v>
      </c>
      <c r="H3" s="12" t="s">
        <v>21</v>
      </c>
      <c r="I3" s="12" t="s">
        <v>22</v>
      </c>
      <c r="J3" s="12" t="s">
        <v>23</v>
      </c>
      <c r="K3" s="12" t="s">
        <v>24</v>
      </c>
      <c r="L3" s="12" t="s">
        <v>25</v>
      </c>
      <c r="M3" s="12">
        <v>8</v>
      </c>
      <c r="N3" s="12">
        <v>45</v>
      </c>
      <c r="O3" s="12">
        <v>120</v>
      </c>
      <c r="P3" s="12">
        <v>590</v>
      </c>
      <c r="Q3" s="12">
        <v>360</v>
      </c>
      <c r="R3" s="12">
        <v>950</v>
      </c>
    </row>
    <row r="4" spans="1:18" x14ac:dyDescent="0.25">
      <c r="A4" s="13">
        <v>41721</v>
      </c>
      <c r="B4" s="12">
        <v>23</v>
      </c>
      <c r="C4" s="12" t="s">
        <v>26</v>
      </c>
      <c r="D4" s="12">
        <v>2014</v>
      </c>
      <c r="E4" s="12">
        <v>49</v>
      </c>
      <c r="F4" s="12" t="s">
        <v>27</v>
      </c>
      <c r="G4" s="12" t="s">
        <v>20</v>
      </c>
      <c r="H4" s="12" t="s">
        <v>28</v>
      </c>
      <c r="I4" s="12" t="s">
        <v>29</v>
      </c>
      <c r="J4" s="12" t="s">
        <v>23</v>
      </c>
      <c r="K4" s="12" t="s">
        <v>24</v>
      </c>
      <c r="L4" s="12" t="s">
        <v>25</v>
      </c>
      <c r="M4" s="12">
        <v>23</v>
      </c>
      <c r="N4" s="12">
        <v>45</v>
      </c>
      <c r="O4" s="12">
        <v>120</v>
      </c>
      <c r="P4" s="12">
        <v>1366</v>
      </c>
      <c r="Q4" s="12">
        <v>1035</v>
      </c>
      <c r="R4" s="12">
        <v>2401</v>
      </c>
    </row>
    <row r="5" spans="1:18" x14ac:dyDescent="0.25">
      <c r="A5" s="13">
        <v>42452</v>
      </c>
      <c r="B5" s="12">
        <v>23</v>
      </c>
      <c r="C5" s="12" t="s">
        <v>26</v>
      </c>
      <c r="D5" s="12">
        <v>2016</v>
      </c>
      <c r="E5" s="12">
        <v>49</v>
      </c>
      <c r="F5" s="12" t="s">
        <v>27</v>
      </c>
      <c r="G5" s="12" t="s">
        <v>20</v>
      </c>
      <c r="H5" s="12" t="s">
        <v>28</v>
      </c>
      <c r="I5" s="12" t="s">
        <v>29</v>
      </c>
      <c r="J5" s="12" t="s">
        <v>23</v>
      </c>
      <c r="K5" s="12" t="s">
        <v>24</v>
      </c>
      <c r="L5" s="12" t="s">
        <v>25</v>
      </c>
      <c r="M5" s="12">
        <v>20</v>
      </c>
      <c r="N5" s="12">
        <v>45</v>
      </c>
      <c r="O5" s="12">
        <v>120</v>
      </c>
      <c r="P5" s="12">
        <v>1188</v>
      </c>
      <c r="Q5" s="12">
        <v>900</v>
      </c>
      <c r="R5" s="12">
        <v>2088</v>
      </c>
    </row>
    <row r="6" spans="1:18" x14ac:dyDescent="0.25">
      <c r="A6" s="13">
        <v>41774</v>
      </c>
      <c r="B6" s="12">
        <v>15</v>
      </c>
      <c r="C6" s="12" t="s">
        <v>30</v>
      </c>
      <c r="D6" s="12">
        <v>2014</v>
      </c>
      <c r="E6" s="12">
        <v>47</v>
      </c>
      <c r="F6" s="12" t="s">
        <v>27</v>
      </c>
      <c r="G6" s="12" t="s">
        <v>31</v>
      </c>
      <c r="H6" s="12" t="s">
        <v>28</v>
      </c>
      <c r="I6" s="12" t="s">
        <v>29</v>
      </c>
      <c r="J6" s="12" t="s">
        <v>23</v>
      </c>
      <c r="K6" s="12" t="s">
        <v>24</v>
      </c>
      <c r="L6" s="12" t="s">
        <v>25</v>
      </c>
      <c r="M6" s="12">
        <v>4</v>
      </c>
      <c r="N6" s="12">
        <v>45</v>
      </c>
      <c r="O6" s="12">
        <v>120</v>
      </c>
      <c r="P6" s="12">
        <v>238</v>
      </c>
      <c r="Q6" s="12">
        <v>180</v>
      </c>
      <c r="R6" s="12">
        <v>418</v>
      </c>
    </row>
    <row r="7" spans="1:18" x14ac:dyDescent="0.25">
      <c r="A7" s="13">
        <v>42505</v>
      </c>
      <c r="B7" s="12">
        <v>15</v>
      </c>
      <c r="C7" s="12" t="s">
        <v>30</v>
      </c>
      <c r="D7" s="12">
        <v>2016</v>
      </c>
      <c r="E7" s="12">
        <v>47</v>
      </c>
      <c r="F7" s="12" t="s">
        <v>27</v>
      </c>
      <c r="G7" s="12" t="s">
        <v>31</v>
      </c>
      <c r="H7" s="12" t="s">
        <v>28</v>
      </c>
      <c r="I7" s="12" t="s">
        <v>29</v>
      </c>
      <c r="J7" s="12" t="s">
        <v>23</v>
      </c>
      <c r="K7" s="12" t="s">
        <v>24</v>
      </c>
      <c r="L7" s="12" t="s">
        <v>25</v>
      </c>
      <c r="M7" s="12">
        <v>5</v>
      </c>
      <c r="N7" s="12">
        <v>45</v>
      </c>
      <c r="O7" s="12">
        <v>120</v>
      </c>
      <c r="P7" s="12">
        <v>297</v>
      </c>
      <c r="Q7" s="12">
        <v>225</v>
      </c>
      <c r="R7" s="12">
        <v>522</v>
      </c>
    </row>
    <row r="8" spans="1:18" x14ac:dyDescent="0.25">
      <c r="A8" s="13">
        <v>41781</v>
      </c>
      <c r="B8" s="12">
        <v>22</v>
      </c>
      <c r="C8" s="12" t="s">
        <v>30</v>
      </c>
      <c r="D8" s="12">
        <v>2014</v>
      </c>
      <c r="E8" s="12">
        <v>47</v>
      </c>
      <c r="F8" s="12" t="s">
        <v>27</v>
      </c>
      <c r="G8" s="12" t="s">
        <v>31</v>
      </c>
      <c r="H8" s="12" t="s">
        <v>28</v>
      </c>
      <c r="I8" s="12" t="s">
        <v>32</v>
      </c>
      <c r="J8" s="12" t="s">
        <v>23</v>
      </c>
      <c r="K8" s="12" t="s">
        <v>24</v>
      </c>
      <c r="L8" s="12" t="s">
        <v>25</v>
      </c>
      <c r="M8" s="12">
        <v>4</v>
      </c>
      <c r="N8" s="12">
        <v>45</v>
      </c>
      <c r="O8" s="12">
        <v>120</v>
      </c>
      <c r="P8" s="12">
        <v>199</v>
      </c>
      <c r="Q8" s="12">
        <v>180</v>
      </c>
      <c r="R8" s="12">
        <v>379</v>
      </c>
    </row>
    <row r="9" spans="1:18" x14ac:dyDescent="0.25">
      <c r="A9" s="13">
        <v>42512</v>
      </c>
      <c r="B9" s="12">
        <v>22</v>
      </c>
      <c r="C9" s="12" t="s">
        <v>30</v>
      </c>
      <c r="D9" s="12">
        <v>2016</v>
      </c>
      <c r="E9" s="12">
        <v>47</v>
      </c>
      <c r="F9" s="12" t="s">
        <v>27</v>
      </c>
      <c r="G9" s="12" t="s">
        <v>31</v>
      </c>
      <c r="H9" s="12" t="s">
        <v>28</v>
      </c>
      <c r="I9" s="12" t="s">
        <v>32</v>
      </c>
      <c r="J9" s="12" t="s">
        <v>23</v>
      </c>
      <c r="K9" s="12" t="s">
        <v>24</v>
      </c>
      <c r="L9" s="12" t="s">
        <v>25</v>
      </c>
      <c r="M9" s="12">
        <v>2</v>
      </c>
      <c r="N9" s="12">
        <v>45</v>
      </c>
      <c r="O9" s="12">
        <v>120</v>
      </c>
      <c r="P9" s="12">
        <v>100</v>
      </c>
      <c r="Q9" s="12">
        <v>90</v>
      </c>
      <c r="R9" s="12">
        <v>190</v>
      </c>
    </row>
    <row r="10" spans="1:18" x14ac:dyDescent="0.25">
      <c r="A10" s="13">
        <v>41692</v>
      </c>
      <c r="B10" s="12">
        <v>22</v>
      </c>
      <c r="C10" s="12" t="s">
        <v>33</v>
      </c>
      <c r="D10" s="12">
        <v>2014</v>
      </c>
      <c r="E10" s="12">
        <v>35</v>
      </c>
      <c r="F10" s="12" t="s">
        <v>27</v>
      </c>
      <c r="G10" s="12" t="s">
        <v>20</v>
      </c>
      <c r="H10" s="12" t="s">
        <v>28</v>
      </c>
      <c r="I10" s="12" t="s">
        <v>32</v>
      </c>
      <c r="J10" s="12" t="s">
        <v>23</v>
      </c>
      <c r="K10" s="12" t="s">
        <v>24</v>
      </c>
      <c r="L10" s="12" t="s">
        <v>25</v>
      </c>
      <c r="M10" s="12">
        <v>22</v>
      </c>
      <c r="N10" s="12">
        <v>45</v>
      </c>
      <c r="O10" s="12">
        <v>120</v>
      </c>
      <c r="P10" s="12">
        <v>1096</v>
      </c>
      <c r="Q10" s="12">
        <v>990</v>
      </c>
      <c r="R10" s="12">
        <v>2086</v>
      </c>
    </row>
    <row r="11" spans="1:18" x14ac:dyDescent="0.25">
      <c r="A11" s="13">
        <v>42422</v>
      </c>
      <c r="B11" s="12">
        <v>22</v>
      </c>
      <c r="C11" s="12" t="s">
        <v>33</v>
      </c>
      <c r="D11" s="12">
        <v>2016</v>
      </c>
      <c r="E11" s="12">
        <v>35</v>
      </c>
      <c r="F11" s="12" t="s">
        <v>27</v>
      </c>
      <c r="G11" s="12" t="s">
        <v>20</v>
      </c>
      <c r="H11" s="12" t="s">
        <v>28</v>
      </c>
      <c r="I11" s="12" t="s">
        <v>32</v>
      </c>
      <c r="J11" s="12" t="s">
        <v>23</v>
      </c>
      <c r="K11" s="12" t="s">
        <v>24</v>
      </c>
      <c r="L11" s="12" t="s">
        <v>25</v>
      </c>
      <c r="M11" s="12">
        <v>21</v>
      </c>
      <c r="N11" s="12">
        <v>45</v>
      </c>
      <c r="O11" s="12">
        <v>120</v>
      </c>
      <c r="P11" s="12">
        <v>1046</v>
      </c>
      <c r="Q11" s="12">
        <v>945</v>
      </c>
      <c r="R11" s="12">
        <v>1991</v>
      </c>
    </row>
    <row r="12" spans="1:18" x14ac:dyDescent="0.25">
      <c r="A12" s="13">
        <v>41485</v>
      </c>
      <c r="B12" s="12">
        <v>30</v>
      </c>
      <c r="C12" s="12" t="s">
        <v>34</v>
      </c>
      <c r="D12" s="12">
        <v>2013</v>
      </c>
      <c r="E12" s="12">
        <v>32</v>
      </c>
      <c r="F12" s="12" t="s">
        <v>35</v>
      </c>
      <c r="G12" s="12" t="s">
        <v>31</v>
      </c>
      <c r="H12" s="12" t="s">
        <v>28</v>
      </c>
      <c r="I12" s="12" t="s">
        <v>32</v>
      </c>
      <c r="J12" s="12" t="s">
        <v>23</v>
      </c>
      <c r="K12" s="12" t="s">
        <v>24</v>
      </c>
      <c r="L12" s="12" t="s">
        <v>25</v>
      </c>
      <c r="M12" s="12">
        <v>8</v>
      </c>
      <c r="N12" s="12">
        <v>45</v>
      </c>
      <c r="O12" s="12">
        <v>120</v>
      </c>
      <c r="P12" s="12">
        <v>398</v>
      </c>
      <c r="Q12" s="12">
        <v>360</v>
      </c>
      <c r="R12" s="12">
        <v>758</v>
      </c>
    </row>
    <row r="13" spans="1:18" x14ac:dyDescent="0.25">
      <c r="A13" s="13">
        <v>42215</v>
      </c>
      <c r="B13" s="12">
        <v>30</v>
      </c>
      <c r="C13" s="12" t="s">
        <v>34</v>
      </c>
      <c r="D13" s="12">
        <v>2015</v>
      </c>
      <c r="E13" s="12">
        <v>32</v>
      </c>
      <c r="F13" s="12" t="s">
        <v>35</v>
      </c>
      <c r="G13" s="12" t="s">
        <v>31</v>
      </c>
      <c r="H13" s="12" t="s">
        <v>28</v>
      </c>
      <c r="I13" s="12" t="s">
        <v>32</v>
      </c>
      <c r="J13" s="12" t="s">
        <v>23</v>
      </c>
      <c r="K13" s="12" t="s">
        <v>24</v>
      </c>
      <c r="L13" s="12" t="s">
        <v>25</v>
      </c>
      <c r="M13" s="12">
        <v>8</v>
      </c>
      <c r="N13" s="12">
        <v>45</v>
      </c>
      <c r="O13" s="12">
        <v>120</v>
      </c>
      <c r="P13" s="12">
        <v>398</v>
      </c>
      <c r="Q13" s="12">
        <v>360</v>
      </c>
      <c r="R13" s="12">
        <v>758</v>
      </c>
    </row>
    <row r="14" spans="1:18" x14ac:dyDescent="0.25">
      <c r="A14" s="13">
        <v>41470</v>
      </c>
      <c r="B14" s="12">
        <v>15</v>
      </c>
      <c r="C14" s="12" t="s">
        <v>34</v>
      </c>
      <c r="D14" s="12">
        <v>2013</v>
      </c>
      <c r="E14" s="12">
        <v>34</v>
      </c>
      <c r="F14" s="12" t="s">
        <v>35</v>
      </c>
      <c r="G14" s="12" t="s">
        <v>20</v>
      </c>
      <c r="H14" s="12" t="s">
        <v>28</v>
      </c>
      <c r="I14" s="12" t="s">
        <v>32</v>
      </c>
      <c r="J14" s="12" t="s">
        <v>23</v>
      </c>
      <c r="K14" s="12" t="s">
        <v>24</v>
      </c>
      <c r="L14" s="12" t="s">
        <v>25</v>
      </c>
      <c r="M14" s="12">
        <v>7</v>
      </c>
      <c r="N14" s="12">
        <v>45</v>
      </c>
      <c r="O14" s="12">
        <v>120</v>
      </c>
      <c r="P14" s="12">
        <v>349</v>
      </c>
      <c r="Q14" s="12">
        <v>315</v>
      </c>
      <c r="R14" s="12">
        <v>664</v>
      </c>
    </row>
    <row r="15" spans="1:18" x14ac:dyDescent="0.25">
      <c r="A15" s="13">
        <v>42200</v>
      </c>
      <c r="B15" s="12">
        <v>15</v>
      </c>
      <c r="C15" s="12" t="s">
        <v>34</v>
      </c>
      <c r="D15" s="12">
        <v>2015</v>
      </c>
      <c r="E15" s="12">
        <v>34</v>
      </c>
      <c r="F15" s="12" t="s">
        <v>35</v>
      </c>
      <c r="G15" s="12" t="s">
        <v>20</v>
      </c>
      <c r="H15" s="12" t="s">
        <v>28</v>
      </c>
      <c r="I15" s="12" t="s">
        <v>32</v>
      </c>
      <c r="J15" s="12" t="s">
        <v>23</v>
      </c>
      <c r="K15" s="12" t="s">
        <v>24</v>
      </c>
      <c r="L15" s="12" t="s">
        <v>25</v>
      </c>
      <c r="M15" s="12">
        <v>7</v>
      </c>
      <c r="N15" s="12">
        <v>45</v>
      </c>
      <c r="O15" s="12">
        <v>120</v>
      </c>
      <c r="P15" s="12">
        <v>349</v>
      </c>
      <c r="Q15" s="12">
        <v>315</v>
      </c>
      <c r="R15" s="12">
        <v>664</v>
      </c>
    </row>
    <row r="16" spans="1:18" x14ac:dyDescent="0.25">
      <c r="A16" s="13">
        <v>41488</v>
      </c>
      <c r="B16" s="12">
        <v>2</v>
      </c>
      <c r="C16" s="12" t="s">
        <v>36</v>
      </c>
      <c r="D16" s="12">
        <v>2013</v>
      </c>
      <c r="E16" s="12">
        <v>29</v>
      </c>
      <c r="F16" s="12" t="s">
        <v>35</v>
      </c>
      <c r="G16" s="12" t="s">
        <v>20</v>
      </c>
      <c r="H16" s="12" t="s">
        <v>21</v>
      </c>
      <c r="I16" s="12" t="s">
        <v>22</v>
      </c>
      <c r="J16" s="12" t="s">
        <v>23</v>
      </c>
      <c r="K16" s="12" t="s">
        <v>24</v>
      </c>
      <c r="L16" s="12" t="s">
        <v>25</v>
      </c>
      <c r="M16" s="12">
        <v>5</v>
      </c>
      <c r="N16" s="12">
        <v>45</v>
      </c>
      <c r="O16" s="12">
        <v>120</v>
      </c>
      <c r="P16" s="12">
        <v>369</v>
      </c>
      <c r="Q16" s="12">
        <v>225</v>
      </c>
      <c r="R16" s="12">
        <v>594</v>
      </c>
    </row>
    <row r="17" spans="1:18" x14ac:dyDescent="0.25">
      <c r="A17" s="13">
        <v>42218</v>
      </c>
      <c r="B17" s="12">
        <v>2</v>
      </c>
      <c r="C17" s="12" t="s">
        <v>36</v>
      </c>
      <c r="D17" s="12">
        <v>2015</v>
      </c>
      <c r="E17" s="12">
        <v>29</v>
      </c>
      <c r="F17" s="12" t="s">
        <v>35</v>
      </c>
      <c r="G17" s="12" t="s">
        <v>20</v>
      </c>
      <c r="H17" s="12" t="s">
        <v>21</v>
      </c>
      <c r="I17" s="12" t="s">
        <v>22</v>
      </c>
      <c r="J17" s="12" t="s">
        <v>23</v>
      </c>
      <c r="K17" s="12" t="s">
        <v>24</v>
      </c>
      <c r="L17" s="12" t="s">
        <v>25</v>
      </c>
      <c r="M17" s="12">
        <v>7</v>
      </c>
      <c r="N17" s="12">
        <v>45</v>
      </c>
      <c r="O17" s="12">
        <v>120</v>
      </c>
      <c r="P17" s="12">
        <v>517</v>
      </c>
      <c r="Q17" s="12">
        <v>315</v>
      </c>
      <c r="R17" s="12">
        <v>832</v>
      </c>
    </row>
    <row r="18" spans="1:18" x14ac:dyDescent="0.25">
      <c r="A18" s="13">
        <v>41519</v>
      </c>
      <c r="B18" s="12">
        <v>2</v>
      </c>
      <c r="C18" s="12" t="s">
        <v>37</v>
      </c>
      <c r="D18" s="12">
        <v>2013</v>
      </c>
      <c r="E18" s="12">
        <v>29</v>
      </c>
      <c r="F18" s="12" t="s">
        <v>35</v>
      </c>
      <c r="G18" s="12" t="s">
        <v>20</v>
      </c>
      <c r="H18" s="12" t="s">
        <v>21</v>
      </c>
      <c r="I18" s="12" t="s">
        <v>22</v>
      </c>
      <c r="J18" s="12" t="s">
        <v>23</v>
      </c>
      <c r="K18" s="12" t="s">
        <v>24</v>
      </c>
      <c r="L18" s="12" t="s">
        <v>25</v>
      </c>
      <c r="M18" s="12">
        <v>2</v>
      </c>
      <c r="N18" s="12">
        <v>45</v>
      </c>
      <c r="O18" s="12">
        <v>120</v>
      </c>
      <c r="P18" s="12">
        <v>148</v>
      </c>
      <c r="Q18" s="12">
        <v>90</v>
      </c>
      <c r="R18" s="12">
        <v>238</v>
      </c>
    </row>
    <row r="19" spans="1:18" x14ac:dyDescent="0.25">
      <c r="A19" s="13">
        <v>42249</v>
      </c>
      <c r="B19" s="12">
        <v>2</v>
      </c>
      <c r="C19" s="12" t="s">
        <v>37</v>
      </c>
      <c r="D19" s="12">
        <v>2015</v>
      </c>
      <c r="E19" s="12">
        <v>29</v>
      </c>
      <c r="F19" s="12" t="s">
        <v>35</v>
      </c>
      <c r="G19" s="12" t="s">
        <v>20</v>
      </c>
      <c r="H19" s="12" t="s">
        <v>21</v>
      </c>
      <c r="I19" s="12" t="s">
        <v>22</v>
      </c>
      <c r="J19" s="12" t="s">
        <v>23</v>
      </c>
      <c r="K19" s="12" t="s">
        <v>24</v>
      </c>
      <c r="L19" s="12" t="s">
        <v>25</v>
      </c>
      <c r="M19" s="12">
        <v>1</v>
      </c>
      <c r="N19" s="12">
        <v>45</v>
      </c>
      <c r="O19" s="12">
        <v>120</v>
      </c>
      <c r="P19" s="12">
        <v>74</v>
      </c>
      <c r="Q19" s="12">
        <v>45</v>
      </c>
      <c r="R19" s="12">
        <v>119</v>
      </c>
    </row>
    <row r="20" spans="1:18" x14ac:dyDescent="0.25">
      <c r="A20" s="13">
        <v>41661</v>
      </c>
      <c r="B20" s="12">
        <v>22</v>
      </c>
      <c r="C20" s="12" t="s">
        <v>38</v>
      </c>
      <c r="D20" s="12">
        <v>2014</v>
      </c>
      <c r="E20" s="12">
        <v>29</v>
      </c>
      <c r="F20" s="12" t="s">
        <v>35</v>
      </c>
      <c r="G20" s="12" t="s">
        <v>20</v>
      </c>
      <c r="H20" s="12" t="s">
        <v>21</v>
      </c>
      <c r="I20" s="12" t="s">
        <v>22</v>
      </c>
      <c r="J20" s="12" t="s">
        <v>23</v>
      </c>
      <c r="K20" s="12" t="s">
        <v>24</v>
      </c>
      <c r="L20" s="12" t="s">
        <v>25</v>
      </c>
      <c r="M20" s="12">
        <v>1</v>
      </c>
      <c r="N20" s="12">
        <v>45</v>
      </c>
      <c r="O20" s="12">
        <v>120</v>
      </c>
      <c r="P20" s="12">
        <v>74</v>
      </c>
      <c r="Q20" s="12">
        <v>45</v>
      </c>
      <c r="R20" s="12">
        <v>119</v>
      </c>
    </row>
    <row r="21" spans="1:18" x14ac:dyDescent="0.25">
      <c r="A21" s="13">
        <v>42391</v>
      </c>
      <c r="B21" s="12">
        <v>22</v>
      </c>
      <c r="C21" s="12" t="s">
        <v>38</v>
      </c>
      <c r="D21" s="12">
        <v>2016</v>
      </c>
      <c r="E21" s="12">
        <v>29</v>
      </c>
      <c r="F21" s="12" t="s">
        <v>35</v>
      </c>
      <c r="G21" s="12" t="s">
        <v>20</v>
      </c>
      <c r="H21" s="12" t="s">
        <v>21</v>
      </c>
      <c r="I21" s="12" t="s">
        <v>22</v>
      </c>
      <c r="J21" s="12" t="s">
        <v>23</v>
      </c>
      <c r="K21" s="12" t="s">
        <v>24</v>
      </c>
      <c r="L21" s="12" t="s">
        <v>25</v>
      </c>
      <c r="M21" s="12">
        <v>1</v>
      </c>
      <c r="N21" s="12">
        <v>45</v>
      </c>
      <c r="O21" s="12">
        <v>120</v>
      </c>
      <c r="P21" s="12">
        <v>74</v>
      </c>
      <c r="Q21" s="12">
        <v>45</v>
      </c>
      <c r="R21" s="12">
        <v>119</v>
      </c>
    </row>
    <row r="22" spans="1:18" x14ac:dyDescent="0.25">
      <c r="A22" s="13">
        <v>41776</v>
      </c>
      <c r="B22" s="12">
        <v>17</v>
      </c>
      <c r="C22" s="12" t="s">
        <v>30</v>
      </c>
      <c r="D22" s="12">
        <v>2014</v>
      </c>
      <c r="E22" s="12">
        <v>45</v>
      </c>
      <c r="F22" s="12" t="s">
        <v>35</v>
      </c>
      <c r="G22" s="12" t="s">
        <v>20</v>
      </c>
      <c r="H22" s="12" t="s">
        <v>21</v>
      </c>
      <c r="I22" s="12" t="s">
        <v>22</v>
      </c>
      <c r="J22" s="12" t="s">
        <v>23</v>
      </c>
      <c r="K22" s="12" t="s">
        <v>24</v>
      </c>
      <c r="L22" s="12" t="s">
        <v>25</v>
      </c>
      <c r="M22" s="12">
        <v>6</v>
      </c>
      <c r="N22" s="12">
        <v>45</v>
      </c>
      <c r="O22" s="12">
        <v>120</v>
      </c>
      <c r="P22" s="12">
        <v>443</v>
      </c>
      <c r="Q22" s="12">
        <v>270</v>
      </c>
      <c r="R22" s="12">
        <v>713</v>
      </c>
    </row>
    <row r="23" spans="1:18" x14ac:dyDescent="0.25">
      <c r="A23" s="13">
        <v>42507</v>
      </c>
      <c r="B23" s="12">
        <v>17</v>
      </c>
      <c r="C23" s="12" t="s">
        <v>30</v>
      </c>
      <c r="D23" s="12">
        <v>2016</v>
      </c>
      <c r="E23" s="12">
        <v>29</v>
      </c>
      <c r="F23" s="12" t="s">
        <v>35</v>
      </c>
      <c r="G23" s="12" t="s">
        <v>20</v>
      </c>
      <c r="H23" s="12" t="s">
        <v>21</v>
      </c>
      <c r="I23" s="12" t="s">
        <v>22</v>
      </c>
      <c r="J23" s="12" t="s">
        <v>23</v>
      </c>
      <c r="K23" s="12" t="s">
        <v>24</v>
      </c>
      <c r="L23" s="12" t="s">
        <v>25</v>
      </c>
      <c r="M23" s="12">
        <v>8</v>
      </c>
      <c r="N23" s="12">
        <v>45</v>
      </c>
      <c r="O23" s="12">
        <v>120</v>
      </c>
      <c r="P23" s="12">
        <v>590</v>
      </c>
      <c r="Q23" s="12">
        <v>360</v>
      </c>
      <c r="R23" s="12">
        <v>950</v>
      </c>
    </row>
    <row r="24" spans="1:18" x14ac:dyDescent="0.25">
      <c r="A24" s="13">
        <v>41725</v>
      </c>
      <c r="B24" s="12">
        <v>27</v>
      </c>
      <c r="C24" s="12" t="s">
        <v>26</v>
      </c>
      <c r="D24" s="12">
        <v>2014</v>
      </c>
      <c r="E24" s="12">
        <v>51</v>
      </c>
      <c r="F24" s="12" t="s">
        <v>27</v>
      </c>
      <c r="G24" s="12" t="s">
        <v>20</v>
      </c>
      <c r="H24" s="12" t="s">
        <v>39</v>
      </c>
      <c r="I24" s="12" t="s">
        <v>40</v>
      </c>
      <c r="J24" s="12" t="s">
        <v>23</v>
      </c>
      <c r="K24" s="12" t="s">
        <v>24</v>
      </c>
      <c r="L24" s="12" t="s">
        <v>25</v>
      </c>
      <c r="M24" s="12">
        <v>9</v>
      </c>
      <c r="N24" s="12">
        <v>45</v>
      </c>
      <c r="O24" s="12">
        <v>120</v>
      </c>
      <c r="P24" s="12">
        <v>524</v>
      </c>
      <c r="Q24" s="12">
        <v>405</v>
      </c>
      <c r="R24" s="12">
        <v>929</v>
      </c>
    </row>
    <row r="25" spans="1:18" x14ac:dyDescent="0.25">
      <c r="A25" s="13">
        <v>42456</v>
      </c>
      <c r="B25" s="12">
        <v>27</v>
      </c>
      <c r="C25" s="12" t="s">
        <v>26</v>
      </c>
      <c r="D25" s="12">
        <v>2016</v>
      </c>
      <c r="E25" s="12">
        <v>51</v>
      </c>
      <c r="F25" s="12" t="s">
        <v>27</v>
      </c>
      <c r="G25" s="12" t="s">
        <v>20</v>
      </c>
      <c r="H25" s="12" t="s">
        <v>39</v>
      </c>
      <c r="I25" s="12" t="s">
        <v>40</v>
      </c>
      <c r="J25" s="12" t="s">
        <v>23</v>
      </c>
      <c r="K25" s="12" t="s">
        <v>24</v>
      </c>
      <c r="L25" s="12" t="s">
        <v>25</v>
      </c>
      <c r="M25" s="12">
        <v>7</v>
      </c>
      <c r="N25" s="12">
        <v>45</v>
      </c>
      <c r="O25" s="12">
        <v>120</v>
      </c>
      <c r="P25" s="12">
        <v>407</v>
      </c>
      <c r="Q25" s="12">
        <v>315</v>
      </c>
      <c r="R25" s="12">
        <v>722</v>
      </c>
    </row>
    <row r="26" spans="1:18" x14ac:dyDescent="0.25">
      <c r="A26" s="13">
        <v>41511</v>
      </c>
      <c r="B26" s="12">
        <v>25</v>
      </c>
      <c r="C26" s="12" t="s">
        <v>36</v>
      </c>
      <c r="D26" s="12">
        <v>2013</v>
      </c>
      <c r="E26" s="12">
        <v>49</v>
      </c>
      <c r="F26" s="12" t="s">
        <v>27</v>
      </c>
      <c r="G26" s="12" t="s">
        <v>20</v>
      </c>
      <c r="H26" s="12" t="s">
        <v>21</v>
      </c>
      <c r="I26" s="12" t="s">
        <v>22</v>
      </c>
      <c r="J26" s="12" t="s">
        <v>23</v>
      </c>
      <c r="K26" s="12" t="s">
        <v>24</v>
      </c>
      <c r="L26" s="12" t="s">
        <v>25</v>
      </c>
      <c r="M26" s="12">
        <v>3</v>
      </c>
      <c r="N26" s="12">
        <v>45</v>
      </c>
      <c r="O26" s="12">
        <v>120</v>
      </c>
      <c r="P26" s="12">
        <v>221</v>
      </c>
      <c r="Q26" s="12">
        <v>135</v>
      </c>
      <c r="R26" s="12">
        <v>356</v>
      </c>
    </row>
    <row r="27" spans="1:18" x14ac:dyDescent="0.25">
      <c r="A27" s="13">
        <v>42241</v>
      </c>
      <c r="B27" s="12">
        <v>25</v>
      </c>
      <c r="C27" s="12" t="s">
        <v>36</v>
      </c>
      <c r="D27" s="12">
        <v>2015</v>
      </c>
      <c r="E27" s="12">
        <v>49</v>
      </c>
      <c r="F27" s="12" t="s">
        <v>27</v>
      </c>
      <c r="G27" s="12" t="s">
        <v>20</v>
      </c>
      <c r="H27" s="12" t="s">
        <v>21</v>
      </c>
      <c r="I27" s="12" t="s">
        <v>22</v>
      </c>
      <c r="J27" s="12" t="s">
        <v>23</v>
      </c>
      <c r="K27" s="12" t="s">
        <v>24</v>
      </c>
      <c r="L27" s="12" t="s">
        <v>25</v>
      </c>
      <c r="M27" s="12">
        <v>1</v>
      </c>
      <c r="N27" s="12">
        <v>45</v>
      </c>
      <c r="O27" s="12">
        <v>120</v>
      </c>
      <c r="P27" s="12">
        <v>74</v>
      </c>
      <c r="Q27" s="12">
        <v>45</v>
      </c>
      <c r="R27" s="12">
        <v>119</v>
      </c>
    </row>
    <row r="28" spans="1:18" x14ac:dyDescent="0.25">
      <c r="A28" s="13">
        <v>41634</v>
      </c>
      <c r="B28" s="12">
        <v>26</v>
      </c>
      <c r="C28" s="12" t="s">
        <v>41</v>
      </c>
      <c r="D28" s="12">
        <v>2013</v>
      </c>
      <c r="E28" s="12">
        <v>56</v>
      </c>
      <c r="F28" s="12" t="s">
        <v>27</v>
      </c>
      <c r="G28" s="12" t="s">
        <v>20</v>
      </c>
      <c r="H28" s="12" t="s">
        <v>21</v>
      </c>
      <c r="I28" s="12" t="s">
        <v>22</v>
      </c>
      <c r="J28" s="12" t="s">
        <v>23</v>
      </c>
      <c r="K28" s="12" t="s">
        <v>24</v>
      </c>
      <c r="L28" s="12" t="s">
        <v>25</v>
      </c>
      <c r="M28" s="12">
        <v>6</v>
      </c>
      <c r="N28" s="12">
        <v>45</v>
      </c>
      <c r="O28" s="12">
        <v>120</v>
      </c>
      <c r="P28" s="12">
        <v>443</v>
      </c>
      <c r="Q28" s="12">
        <v>270</v>
      </c>
      <c r="R28" s="12">
        <v>713</v>
      </c>
    </row>
    <row r="29" spans="1:18" x14ac:dyDescent="0.25">
      <c r="A29" s="13">
        <v>42364</v>
      </c>
      <c r="B29" s="12">
        <v>26</v>
      </c>
      <c r="C29" s="12" t="s">
        <v>41</v>
      </c>
      <c r="D29" s="12">
        <v>2015</v>
      </c>
      <c r="E29" s="12">
        <v>49</v>
      </c>
      <c r="F29" s="12" t="s">
        <v>27</v>
      </c>
      <c r="G29" s="12" t="s">
        <v>20</v>
      </c>
      <c r="H29" s="12" t="s">
        <v>21</v>
      </c>
      <c r="I29" s="12" t="s">
        <v>22</v>
      </c>
      <c r="J29" s="12" t="s">
        <v>23</v>
      </c>
      <c r="K29" s="12" t="s">
        <v>24</v>
      </c>
      <c r="L29" s="12" t="s">
        <v>25</v>
      </c>
      <c r="M29" s="12">
        <v>5</v>
      </c>
      <c r="N29" s="12">
        <v>45</v>
      </c>
      <c r="O29" s="12">
        <v>120</v>
      </c>
      <c r="P29" s="12">
        <v>369</v>
      </c>
      <c r="Q29" s="12">
        <v>225</v>
      </c>
      <c r="R29" s="12">
        <v>594</v>
      </c>
    </row>
    <row r="30" spans="1:18" x14ac:dyDescent="0.25">
      <c r="A30" s="13">
        <v>41641</v>
      </c>
      <c r="B30" s="12">
        <v>2</v>
      </c>
      <c r="C30" s="12" t="s">
        <v>38</v>
      </c>
      <c r="D30" s="12">
        <v>2014</v>
      </c>
      <c r="E30" s="12">
        <v>48</v>
      </c>
      <c r="F30" s="12" t="s">
        <v>27</v>
      </c>
      <c r="G30" s="12" t="s">
        <v>31</v>
      </c>
      <c r="H30" s="12" t="s">
        <v>21</v>
      </c>
      <c r="I30" s="12" t="s">
        <v>22</v>
      </c>
      <c r="J30" s="12" t="s">
        <v>23</v>
      </c>
      <c r="K30" s="12" t="s">
        <v>24</v>
      </c>
      <c r="L30" s="12" t="s">
        <v>25</v>
      </c>
      <c r="M30" s="12">
        <v>4</v>
      </c>
      <c r="N30" s="12">
        <v>45</v>
      </c>
      <c r="O30" s="12">
        <v>120</v>
      </c>
      <c r="P30" s="12">
        <v>295</v>
      </c>
      <c r="Q30" s="12">
        <v>180</v>
      </c>
      <c r="R30" s="12">
        <v>475</v>
      </c>
    </row>
    <row r="31" spans="1:18" x14ac:dyDescent="0.25">
      <c r="A31" s="13">
        <v>42371</v>
      </c>
      <c r="B31" s="12">
        <v>2</v>
      </c>
      <c r="C31" s="12" t="s">
        <v>38</v>
      </c>
      <c r="D31" s="12">
        <v>2016</v>
      </c>
      <c r="E31" s="12">
        <v>48</v>
      </c>
      <c r="F31" s="12" t="s">
        <v>27</v>
      </c>
      <c r="G31" s="12" t="s">
        <v>31</v>
      </c>
      <c r="H31" s="12" t="s">
        <v>21</v>
      </c>
      <c r="I31" s="12" t="s">
        <v>22</v>
      </c>
      <c r="J31" s="12" t="s">
        <v>23</v>
      </c>
      <c r="K31" s="12" t="s">
        <v>24</v>
      </c>
      <c r="L31" s="12" t="s">
        <v>25</v>
      </c>
      <c r="M31" s="12">
        <v>4</v>
      </c>
      <c r="N31" s="12">
        <v>45</v>
      </c>
      <c r="O31" s="12">
        <v>120</v>
      </c>
      <c r="P31" s="12">
        <v>295</v>
      </c>
      <c r="Q31" s="12">
        <v>180</v>
      </c>
      <c r="R31" s="12">
        <v>475</v>
      </c>
    </row>
    <row r="32" spans="1:18" x14ac:dyDescent="0.25">
      <c r="A32" s="13">
        <v>41711</v>
      </c>
      <c r="B32" s="12">
        <v>13</v>
      </c>
      <c r="C32" s="12" t="s">
        <v>26</v>
      </c>
      <c r="D32" s="12">
        <v>2014</v>
      </c>
      <c r="E32" s="12">
        <v>48</v>
      </c>
      <c r="F32" s="12" t="s">
        <v>27</v>
      </c>
      <c r="G32" s="12" t="s">
        <v>31</v>
      </c>
      <c r="H32" s="12" t="s">
        <v>21</v>
      </c>
      <c r="I32" s="12" t="s">
        <v>22</v>
      </c>
      <c r="J32" s="12" t="s">
        <v>23</v>
      </c>
      <c r="K32" s="12" t="s">
        <v>24</v>
      </c>
      <c r="L32" s="12" t="s">
        <v>25</v>
      </c>
      <c r="M32" s="12">
        <v>20</v>
      </c>
      <c r="N32" s="12">
        <v>45</v>
      </c>
      <c r="O32" s="12">
        <v>120</v>
      </c>
      <c r="P32" s="12">
        <v>1476</v>
      </c>
      <c r="Q32" s="12">
        <v>900</v>
      </c>
      <c r="R32" s="12">
        <v>2376</v>
      </c>
    </row>
    <row r="33" spans="1:18" x14ac:dyDescent="0.25">
      <c r="A33" s="13">
        <v>42442</v>
      </c>
      <c r="B33" s="12">
        <v>13</v>
      </c>
      <c r="C33" s="12" t="s">
        <v>26</v>
      </c>
      <c r="D33" s="12">
        <v>2016</v>
      </c>
      <c r="E33" s="12">
        <v>48</v>
      </c>
      <c r="F33" s="12" t="s">
        <v>27</v>
      </c>
      <c r="G33" s="12" t="s">
        <v>31</v>
      </c>
      <c r="H33" s="12" t="s">
        <v>21</v>
      </c>
      <c r="I33" s="12" t="s">
        <v>22</v>
      </c>
      <c r="J33" s="12" t="s">
        <v>23</v>
      </c>
      <c r="K33" s="12" t="s">
        <v>24</v>
      </c>
      <c r="L33" s="12" t="s">
        <v>25</v>
      </c>
      <c r="M33" s="12">
        <v>22</v>
      </c>
      <c r="N33" s="12">
        <v>45</v>
      </c>
      <c r="O33" s="12">
        <v>120</v>
      </c>
      <c r="P33" s="12">
        <v>1624</v>
      </c>
      <c r="Q33" s="12">
        <v>990</v>
      </c>
      <c r="R33" s="12">
        <v>2614</v>
      </c>
    </row>
    <row r="34" spans="1:18" x14ac:dyDescent="0.25">
      <c r="A34" s="13">
        <v>41782</v>
      </c>
      <c r="B34" s="12">
        <v>23</v>
      </c>
      <c r="C34" s="12" t="s">
        <v>30</v>
      </c>
      <c r="D34" s="12">
        <v>2014</v>
      </c>
      <c r="E34" s="12">
        <v>47</v>
      </c>
      <c r="F34" s="12" t="s">
        <v>27</v>
      </c>
      <c r="G34" s="12" t="s">
        <v>31</v>
      </c>
      <c r="H34" s="12" t="s">
        <v>21</v>
      </c>
      <c r="I34" s="12" t="s">
        <v>22</v>
      </c>
      <c r="J34" s="12" t="s">
        <v>23</v>
      </c>
      <c r="K34" s="12" t="s">
        <v>24</v>
      </c>
      <c r="L34" s="12" t="s">
        <v>25</v>
      </c>
      <c r="M34" s="12">
        <v>24</v>
      </c>
      <c r="N34" s="12">
        <v>45</v>
      </c>
      <c r="O34" s="12">
        <v>120</v>
      </c>
      <c r="P34" s="12">
        <v>1771</v>
      </c>
      <c r="Q34" s="12">
        <v>1080</v>
      </c>
      <c r="R34" s="12">
        <v>2851</v>
      </c>
    </row>
    <row r="35" spans="1:18" x14ac:dyDescent="0.25">
      <c r="A35" s="13">
        <v>42513</v>
      </c>
      <c r="B35" s="12">
        <v>23</v>
      </c>
      <c r="C35" s="12" t="s">
        <v>30</v>
      </c>
      <c r="D35" s="12">
        <v>2016</v>
      </c>
      <c r="E35" s="12">
        <v>47</v>
      </c>
      <c r="F35" s="12" t="s">
        <v>27</v>
      </c>
      <c r="G35" s="12" t="s">
        <v>31</v>
      </c>
      <c r="H35" s="12" t="s">
        <v>21</v>
      </c>
      <c r="I35" s="12" t="s">
        <v>22</v>
      </c>
      <c r="J35" s="12" t="s">
        <v>23</v>
      </c>
      <c r="K35" s="12" t="s">
        <v>24</v>
      </c>
      <c r="L35" s="12" t="s">
        <v>25</v>
      </c>
      <c r="M35" s="12">
        <v>23</v>
      </c>
      <c r="N35" s="12">
        <v>45</v>
      </c>
      <c r="O35" s="12">
        <v>120</v>
      </c>
      <c r="P35" s="12">
        <v>1697</v>
      </c>
      <c r="Q35" s="12">
        <v>1035</v>
      </c>
      <c r="R35" s="12">
        <v>2732</v>
      </c>
    </row>
    <row r="36" spans="1:18" x14ac:dyDescent="0.25">
      <c r="A36" s="13">
        <v>41474</v>
      </c>
      <c r="B36" s="12">
        <v>19</v>
      </c>
      <c r="C36" s="12" t="s">
        <v>34</v>
      </c>
      <c r="D36" s="12">
        <v>2013</v>
      </c>
      <c r="E36" s="12">
        <v>32</v>
      </c>
      <c r="F36" s="12" t="s">
        <v>35</v>
      </c>
      <c r="G36" s="12" t="s">
        <v>31</v>
      </c>
      <c r="H36" s="12" t="s">
        <v>39</v>
      </c>
      <c r="I36" s="12" t="s">
        <v>40</v>
      </c>
      <c r="J36" s="12" t="s">
        <v>23</v>
      </c>
      <c r="K36" s="12" t="s">
        <v>24</v>
      </c>
      <c r="L36" s="12" t="s">
        <v>25</v>
      </c>
      <c r="M36" s="12">
        <v>9</v>
      </c>
      <c r="N36" s="12">
        <v>45</v>
      </c>
      <c r="O36" s="12">
        <v>120</v>
      </c>
      <c r="P36" s="12">
        <v>524</v>
      </c>
      <c r="Q36" s="12">
        <v>405</v>
      </c>
      <c r="R36" s="12">
        <v>929</v>
      </c>
    </row>
    <row r="37" spans="1:18" x14ac:dyDescent="0.25">
      <c r="A37" s="13">
        <v>42204</v>
      </c>
      <c r="B37" s="12">
        <v>19</v>
      </c>
      <c r="C37" s="12" t="s">
        <v>34</v>
      </c>
      <c r="D37" s="12">
        <v>2015</v>
      </c>
      <c r="E37" s="12">
        <v>32</v>
      </c>
      <c r="F37" s="12" t="s">
        <v>35</v>
      </c>
      <c r="G37" s="12" t="s">
        <v>31</v>
      </c>
      <c r="H37" s="12" t="s">
        <v>39</v>
      </c>
      <c r="I37" s="12" t="s">
        <v>40</v>
      </c>
      <c r="J37" s="12" t="s">
        <v>23</v>
      </c>
      <c r="K37" s="12" t="s">
        <v>24</v>
      </c>
      <c r="L37" s="12" t="s">
        <v>25</v>
      </c>
      <c r="M37" s="12">
        <v>9</v>
      </c>
      <c r="N37" s="12">
        <v>45</v>
      </c>
      <c r="O37" s="12">
        <v>120</v>
      </c>
      <c r="P37" s="12">
        <v>524</v>
      </c>
      <c r="Q37" s="12">
        <v>405</v>
      </c>
      <c r="R37" s="12">
        <v>929</v>
      </c>
    </row>
    <row r="38" spans="1:18" x14ac:dyDescent="0.25">
      <c r="A38" s="13">
        <v>41589</v>
      </c>
      <c r="B38" s="12">
        <v>11</v>
      </c>
      <c r="C38" s="12" t="s">
        <v>18</v>
      </c>
      <c r="D38" s="12">
        <v>2013</v>
      </c>
      <c r="E38" s="12">
        <v>34</v>
      </c>
      <c r="F38" s="12" t="s">
        <v>35</v>
      </c>
      <c r="G38" s="12" t="s">
        <v>20</v>
      </c>
      <c r="H38" s="12" t="s">
        <v>21</v>
      </c>
      <c r="I38" s="12" t="s">
        <v>22</v>
      </c>
      <c r="J38" s="12" t="s">
        <v>23</v>
      </c>
      <c r="K38" s="12" t="s">
        <v>24</v>
      </c>
      <c r="L38" s="12" t="s">
        <v>25</v>
      </c>
      <c r="M38" s="12">
        <v>25</v>
      </c>
      <c r="N38" s="12">
        <v>45</v>
      </c>
      <c r="O38" s="12">
        <v>120</v>
      </c>
      <c r="P38" s="12">
        <v>1845</v>
      </c>
      <c r="Q38" s="12">
        <v>1125</v>
      </c>
      <c r="R38" s="12">
        <v>2970</v>
      </c>
    </row>
    <row r="39" spans="1:18" x14ac:dyDescent="0.25">
      <c r="A39" s="13">
        <v>42319</v>
      </c>
      <c r="B39" s="12">
        <v>11</v>
      </c>
      <c r="C39" s="12" t="s">
        <v>18</v>
      </c>
      <c r="D39" s="12">
        <v>2015</v>
      </c>
      <c r="E39" s="12">
        <v>34</v>
      </c>
      <c r="F39" s="12" t="s">
        <v>35</v>
      </c>
      <c r="G39" s="12" t="s">
        <v>20</v>
      </c>
      <c r="H39" s="12" t="s">
        <v>21</v>
      </c>
      <c r="I39" s="12" t="s">
        <v>22</v>
      </c>
      <c r="J39" s="12" t="s">
        <v>23</v>
      </c>
      <c r="K39" s="12" t="s">
        <v>24</v>
      </c>
      <c r="L39" s="12" t="s">
        <v>25</v>
      </c>
      <c r="M39" s="12">
        <v>23</v>
      </c>
      <c r="N39" s="12">
        <v>45</v>
      </c>
      <c r="O39" s="12">
        <v>120</v>
      </c>
      <c r="P39" s="12">
        <v>1697</v>
      </c>
      <c r="Q39" s="12">
        <v>1035</v>
      </c>
      <c r="R39" s="12">
        <v>2732</v>
      </c>
    </row>
    <row r="40" spans="1:18" x14ac:dyDescent="0.25">
      <c r="A40" s="13">
        <v>41468</v>
      </c>
      <c r="B40" s="12">
        <v>13</v>
      </c>
      <c r="C40" s="12" t="s">
        <v>34</v>
      </c>
      <c r="D40" s="12">
        <v>2013</v>
      </c>
      <c r="E40" s="12">
        <v>43</v>
      </c>
      <c r="F40" s="12" t="s">
        <v>27</v>
      </c>
      <c r="G40" s="12" t="s">
        <v>31</v>
      </c>
      <c r="H40" s="12" t="s">
        <v>39</v>
      </c>
      <c r="I40" s="12" t="s">
        <v>42</v>
      </c>
      <c r="J40" s="12" t="s">
        <v>23</v>
      </c>
      <c r="K40" s="12" t="s">
        <v>24</v>
      </c>
      <c r="L40" s="12" t="s">
        <v>25</v>
      </c>
      <c r="M40" s="12">
        <v>10</v>
      </c>
      <c r="N40" s="12">
        <v>45</v>
      </c>
      <c r="O40" s="12">
        <v>120</v>
      </c>
      <c r="P40" s="12">
        <v>726</v>
      </c>
      <c r="Q40" s="12">
        <v>450</v>
      </c>
      <c r="R40" s="12">
        <v>1176</v>
      </c>
    </row>
    <row r="41" spans="1:18" x14ac:dyDescent="0.25">
      <c r="A41" s="13">
        <v>42198</v>
      </c>
      <c r="B41" s="12">
        <v>13</v>
      </c>
      <c r="C41" s="12" t="s">
        <v>34</v>
      </c>
      <c r="D41" s="12">
        <v>2015</v>
      </c>
      <c r="E41" s="12">
        <v>43</v>
      </c>
      <c r="F41" s="12" t="s">
        <v>27</v>
      </c>
      <c r="G41" s="12" t="s">
        <v>31</v>
      </c>
      <c r="H41" s="12" t="s">
        <v>39</v>
      </c>
      <c r="I41" s="12" t="s">
        <v>42</v>
      </c>
      <c r="J41" s="12" t="s">
        <v>23</v>
      </c>
      <c r="K41" s="12" t="s">
        <v>24</v>
      </c>
      <c r="L41" s="12" t="s">
        <v>25</v>
      </c>
      <c r="M41" s="12">
        <v>10</v>
      </c>
      <c r="N41" s="12">
        <v>45</v>
      </c>
      <c r="O41" s="12">
        <v>120</v>
      </c>
      <c r="P41" s="12">
        <v>726</v>
      </c>
      <c r="Q41" s="12">
        <v>450</v>
      </c>
      <c r="R41" s="12">
        <v>1176</v>
      </c>
    </row>
    <row r="42" spans="1:18" x14ac:dyDescent="0.25">
      <c r="A42" s="13">
        <v>41729</v>
      </c>
      <c r="B42" s="12">
        <v>31</v>
      </c>
      <c r="C42" s="12" t="s">
        <v>26</v>
      </c>
      <c r="D42" s="12">
        <v>2014</v>
      </c>
      <c r="E42" s="12">
        <v>43</v>
      </c>
      <c r="F42" s="12" t="s">
        <v>27</v>
      </c>
      <c r="G42" s="12" t="s">
        <v>31</v>
      </c>
      <c r="H42" s="12" t="s">
        <v>39</v>
      </c>
      <c r="I42" s="12" t="s">
        <v>42</v>
      </c>
      <c r="J42" s="12" t="s">
        <v>23</v>
      </c>
      <c r="K42" s="12" t="s">
        <v>24</v>
      </c>
      <c r="L42" s="12" t="s">
        <v>25</v>
      </c>
      <c r="M42" s="12">
        <v>11</v>
      </c>
      <c r="N42" s="12">
        <v>45</v>
      </c>
      <c r="O42" s="12">
        <v>120</v>
      </c>
      <c r="P42" s="12">
        <v>799</v>
      </c>
      <c r="Q42" s="12">
        <v>495</v>
      </c>
      <c r="R42" s="12">
        <v>1294</v>
      </c>
    </row>
    <row r="43" spans="1:18" x14ac:dyDescent="0.25">
      <c r="A43" s="13">
        <v>42460</v>
      </c>
      <c r="B43" s="12">
        <v>31</v>
      </c>
      <c r="C43" s="12" t="s">
        <v>26</v>
      </c>
      <c r="D43" s="12">
        <v>2016</v>
      </c>
      <c r="E43" s="12">
        <v>43</v>
      </c>
      <c r="F43" s="12" t="s">
        <v>27</v>
      </c>
      <c r="G43" s="12" t="s">
        <v>31</v>
      </c>
      <c r="H43" s="12" t="s">
        <v>39</v>
      </c>
      <c r="I43" s="12" t="s">
        <v>42</v>
      </c>
      <c r="J43" s="12" t="s">
        <v>23</v>
      </c>
      <c r="K43" s="12" t="s">
        <v>24</v>
      </c>
      <c r="L43" s="12" t="s">
        <v>25</v>
      </c>
      <c r="M43" s="12">
        <v>11</v>
      </c>
      <c r="N43" s="12">
        <v>45</v>
      </c>
      <c r="O43" s="12">
        <v>120</v>
      </c>
      <c r="P43" s="12">
        <v>799</v>
      </c>
      <c r="Q43" s="12">
        <v>495</v>
      </c>
      <c r="R43" s="12">
        <v>1294</v>
      </c>
    </row>
    <row r="44" spans="1:18" x14ac:dyDescent="0.25">
      <c r="A44" s="13">
        <v>41514</v>
      </c>
      <c r="B44" s="12">
        <v>28</v>
      </c>
      <c r="C44" s="12" t="s">
        <v>36</v>
      </c>
      <c r="D44" s="12">
        <v>2013</v>
      </c>
      <c r="E44" s="12">
        <v>61</v>
      </c>
      <c r="F44" s="12" t="s">
        <v>27</v>
      </c>
      <c r="G44" s="12" t="s">
        <v>20</v>
      </c>
      <c r="H44" s="12" t="s">
        <v>39</v>
      </c>
      <c r="I44" s="12" t="s">
        <v>42</v>
      </c>
      <c r="J44" s="12" t="s">
        <v>23</v>
      </c>
      <c r="K44" s="12" t="s">
        <v>24</v>
      </c>
      <c r="L44" s="12" t="s">
        <v>25</v>
      </c>
      <c r="M44" s="12">
        <v>8</v>
      </c>
      <c r="N44" s="12">
        <v>45</v>
      </c>
      <c r="O44" s="12">
        <v>120</v>
      </c>
      <c r="P44" s="12">
        <v>581</v>
      </c>
      <c r="Q44" s="12">
        <v>360</v>
      </c>
      <c r="R44" s="12">
        <v>941</v>
      </c>
    </row>
    <row r="45" spans="1:18" x14ac:dyDescent="0.25">
      <c r="A45" s="13">
        <v>42244</v>
      </c>
      <c r="B45" s="12">
        <v>28</v>
      </c>
      <c r="C45" s="12" t="s">
        <v>36</v>
      </c>
      <c r="D45" s="12">
        <v>2015</v>
      </c>
      <c r="E45" s="12">
        <v>61</v>
      </c>
      <c r="F45" s="12" t="s">
        <v>27</v>
      </c>
      <c r="G45" s="12" t="s">
        <v>20</v>
      </c>
      <c r="H45" s="12" t="s">
        <v>39</v>
      </c>
      <c r="I45" s="12" t="s">
        <v>42</v>
      </c>
      <c r="J45" s="12" t="s">
        <v>23</v>
      </c>
      <c r="K45" s="12" t="s">
        <v>24</v>
      </c>
      <c r="L45" s="12" t="s">
        <v>25</v>
      </c>
      <c r="M45" s="12">
        <v>10</v>
      </c>
      <c r="N45" s="12">
        <v>45</v>
      </c>
      <c r="O45" s="12">
        <v>120</v>
      </c>
      <c r="P45" s="12">
        <v>726</v>
      </c>
      <c r="Q45" s="12">
        <v>450</v>
      </c>
      <c r="R45" s="12">
        <v>1176</v>
      </c>
    </row>
    <row r="46" spans="1:18" x14ac:dyDescent="0.25">
      <c r="A46" s="13">
        <v>41513</v>
      </c>
      <c r="B46" s="12">
        <v>27</v>
      </c>
      <c r="C46" s="12" t="s">
        <v>36</v>
      </c>
      <c r="D46" s="12">
        <v>2013</v>
      </c>
      <c r="E46" s="12">
        <v>57</v>
      </c>
      <c r="F46" s="12" t="s">
        <v>27</v>
      </c>
      <c r="G46" s="12" t="s">
        <v>20</v>
      </c>
      <c r="H46" s="12" t="s">
        <v>21</v>
      </c>
      <c r="I46" s="12" t="s">
        <v>22</v>
      </c>
      <c r="J46" s="12" t="s">
        <v>23</v>
      </c>
      <c r="K46" s="12" t="s">
        <v>24</v>
      </c>
      <c r="L46" s="12" t="s">
        <v>25</v>
      </c>
      <c r="M46" s="12">
        <v>2</v>
      </c>
      <c r="N46" s="12">
        <v>45</v>
      </c>
      <c r="O46" s="12">
        <v>120</v>
      </c>
      <c r="P46" s="12">
        <v>148</v>
      </c>
      <c r="Q46" s="12">
        <v>90</v>
      </c>
      <c r="R46" s="12">
        <v>238</v>
      </c>
    </row>
    <row r="47" spans="1:18" x14ac:dyDescent="0.25">
      <c r="A47" s="13">
        <v>41595</v>
      </c>
      <c r="B47" s="12">
        <v>17</v>
      </c>
      <c r="C47" s="12" t="s">
        <v>18</v>
      </c>
      <c r="D47" s="12">
        <v>2013</v>
      </c>
      <c r="E47" s="12">
        <v>29</v>
      </c>
      <c r="F47" s="12" t="s">
        <v>35</v>
      </c>
      <c r="G47" s="12" t="s">
        <v>31</v>
      </c>
      <c r="H47" s="12" t="s">
        <v>21</v>
      </c>
      <c r="I47" s="12" t="s">
        <v>22</v>
      </c>
      <c r="J47" s="12" t="s">
        <v>23</v>
      </c>
      <c r="K47" s="12" t="s">
        <v>24</v>
      </c>
      <c r="L47" s="12" t="s">
        <v>25</v>
      </c>
      <c r="M47" s="12">
        <v>12</v>
      </c>
      <c r="N47" s="12">
        <v>45</v>
      </c>
      <c r="O47" s="12">
        <v>120</v>
      </c>
      <c r="P47" s="12">
        <v>886</v>
      </c>
      <c r="Q47" s="12">
        <v>540</v>
      </c>
      <c r="R47" s="12">
        <v>1426</v>
      </c>
    </row>
    <row r="48" spans="1:18" x14ac:dyDescent="0.25">
      <c r="A48" s="13">
        <v>42325</v>
      </c>
      <c r="B48" s="12">
        <v>17</v>
      </c>
      <c r="C48" s="12" t="s">
        <v>18</v>
      </c>
      <c r="D48" s="12">
        <v>2015</v>
      </c>
      <c r="E48" s="12">
        <v>29</v>
      </c>
      <c r="F48" s="12" t="s">
        <v>35</v>
      </c>
      <c r="G48" s="12" t="s">
        <v>31</v>
      </c>
      <c r="H48" s="12" t="s">
        <v>21</v>
      </c>
      <c r="I48" s="12" t="s">
        <v>22</v>
      </c>
      <c r="J48" s="12" t="s">
        <v>23</v>
      </c>
      <c r="K48" s="12" t="s">
        <v>24</v>
      </c>
      <c r="L48" s="12" t="s">
        <v>25</v>
      </c>
      <c r="M48" s="12">
        <v>14</v>
      </c>
      <c r="N48" s="12">
        <v>45</v>
      </c>
      <c r="O48" s="12">
        <v>120</v>
      </c>
      <c r="P48" s="12">
        <v>1033</v>
      </c>
      <c r="Q48" s="12">
        <v>630</v>
      </c>
      <c r="R48" s="12">
        <v>1663</v>
      </c>
    </row>
    <row r="49" spans="1:18" x14ac:dyDescent="0.25">
      <c r="A49" s="13">
        <v>41493</v>
      </c>
      <c r="B49" s="12">
        <v>7</v>
      </c>
      <c r="C49" s="12" t="s">
        <v>36</v>
      </c>
      <c r="D49" s="12">
        <v>2013</v>
      </c>
      <c r="E49" s="12">
        <v>38</v>
      </c>
      <c r="F49" s="12" t="s">
        <v>27</v>
      </c>
      <c r="G49" s="12" t="s">
        <v>20</v>
      </c>
      <c r="H49" s="12" t="s">
        <v>43</v>
      </c>
      <c r="I49" s="12" t="s">
        <v>44</v>
      </c>
      <c r="J49" s="12" t="s">
        <v>23</v>
      </c>
      <c r="K49" s="12" t="s">
        <v>24</v>
      </c>
      <c r="L49" s="12" t="s">
        <v>25</v>
      </c>
      <c r="M49" s="12">
        <v>3</v>
      </c>
      <c r="N49" s="12">
        <v>45</v>
      </c>
      <c r="O49" s="12">
        <v>120</v>
      </c>
      <c r="P49" s="12">
        <v>160</v>
      </c>
      <c r="Q49" s="12">
        <v>135</v>
      </c>
      <c r="R49" s="12">
        <v>295</v>
      </c>
    </row>
    <row r="50" spans="1:18" x14ac:dyDescent="0.25">
      <c r="A50" s="13">
        <v>42223</v>
      </c>
      <c r="B50" s="12">
        <v>7</v>
      </c>
      <c r="C50" s="12" t="s">
        <v>36</v>
      </c>
      <c r="D50" s="12">
        <v>2015</v>
      </c>
      <c r="E50" s="12">
        <v>38</v>
      </c>
      <c r="F50" s="12" t="s">
        <v>27</v>
      </c>
      <c r="G50" s="12" t="s">
        <v>20</v>
      </c>
      <c r="H50" s="12" t="s">
        <v>43</v>
      </c>
      <c r="I50" s="12" t="s">
        <v>44</v>
      </c>
      <c r="J50" s="12" t="s">
        <v>23</v>
      </c>
      <c r="K50" s="12" t="s">
        <v>24</v>
      </c>
      <c r="L50" s="12" t="s">
        <v>25</v>
      </c>
      <c r="M50" s="12">
        <v>1</v>
      </c>
      <c r="N50" s="12">
        <v>45</v>
      </c>
      <c r="O50" s="12">
        <v>120</v>
      </c>
      <c r="P50" s="12">
        <v>53</v>
      </c>
      <c r="Q50" s="12">
        <v>45</v>
      </c>
      <c r="R50" s="12">
        <v>98</v>
      </c>
    </row>
    <row r="51" spans="1:18" x14ac:dyDescent="0.25">
      <c r="A51" s="13">
        <v>41470</v>
      </c>
      <c r="B51" s="12">
        <v>15</v>
      </c>
      <c r="C51" s="12" t="s">
        <v>34</v>
      </c>
      <c r="D51" s="12">
        <v>2013</v>
      </c>
      <c r="E51" s="12">
        <v>52</v>
      </c>
      <c r="F51" s="12" t="s">
        <v>27</v>
      </c>
      <c r="G51" s="12" t="s">
        <v>31</v>
      </c>
      <c r="H51" s="12" t="s">
        <v>45</v>
      </c>
      <c r="I51" s="12" t="s">
        <v>46</v>
      </c>
      <c r="J51" s="12" t="s">
        <v>23</v>
      </c>
      <c r="K51" s="12" t="s">
        <v>24</v>
      </c>
      <c r="L51" s="12" t="s">
        <v>25</v>
      </c>
      <c r="M51" s="12">
        <v>8</v>
      </c>
      <c r="N51" s="12">
        <v>45</v>
      </c>
      <c r="O51" s="12">
        <v>120</v>
      </c>
      <c r="P51" s="12">
        <v>427</v>
      </c>
      <c r="Q51" s="12">
        <v>360</v>
      </c>
      <c r="R51" s="12">
        <v>787</v>
      </c>
    </row>
    <row r="52" spans="1:18" x14ac:dyDescent="0.25">
      <c r="A52" s="13">
        <v>42200</v>
      </c>
      <c r="B52" s="12">
        <v>15</v>
      </c>
      <c r="C52" s="12" t="s">
        <v>34</v>
      </c>
      <c r="D52" s="12">
        <v>2015</v>
      </c>
      <c r="E52" s="12">
        <v>52</v>
      </c>
      <c r="F52" s="12" t="s">
        <v>27</v>
      </c>
      <c r="G52" s="12" t="s">
        <v>31</v>
      </c>
      <c r="H52" s="12" t="s">
        <v>45</v>
      </c>
      <c r="I52" s="12" t="s">
        <v>46</v>
      </c>
      <c r="J52" s="12" t="s">
        <v>23</v>
      </c>
      <c r="K52" s="12" t="s">
        <v>24</v>
      </c>
      <c r="L52" s="12" t="s">
        <v>25</v>
      </c>
      <c r="M52" s="12">
        <v>8</v>
      </c>
      <c r="N52" s="12">
        <v>45</v>
      </c>
      <c r="O52" s="12">
        <v>120</v>
      </c>
      <c r="P52" s="12">
        <v>427</v>
      </c>
      <c r="Q52" s="12">
        <v>360</v>
      </c>
      <c r="R52" s="12">
        <v>787</v>
      </c>
    </row>
    <row r="53" spans="1:18" x14ac:dyDescent="0.25">
      <c r="A53" s="13">
        <v>41503</v>
      </c>
      <c r="B53" s="12">
        <v>17</v>
      </c>
      <c r="C53" s="12" t="s">
        <v>36</v>
      </c>
      <c r="D53" s="12">
        <v>2013</v>
      </c>
      <c r="E53" s="12">
        <v>43</v>
      </c>
      <c r="F53" s="12" t="s">
        <v>27</v>
      </c>
      <c r="G53" s="12" t="s">
        <v>31</v>
      </c>
      <c r="H53" s="12" t="s">
        <v>45</v>
      </c>
      <c r="I53" s="12" t="s">
        <v>47</v>
      </c>
      <c r="J53" s="12" t="s">
        <v>23</v>
      </c>
      <c r="K53" s="12" t="s">
        <v>24</v>
      </c>
      <c r="L53" s="12" t="s">
        <v>25</v>
      </c>
      <c r="M53" s="12">
        <v>28</v>
      </c>
      <c r="N53" s="12">
        <v>45</v>
      </c>
      <c r="O53" s="12">
        <v>120</v>
      </c>
      <c r="P53" s="12">
        <v>1697</v>
      </c>
      <c r="Q53" s="12">
        <v>1260</v>
      </c>
      <c r="R53" s="12">
        <v>2957</v>
      </c>
    </row>
    <row r="54" spans="1:18" x14ac:dyDescent="0.25">
      <c r="A54" s="13">
        <v>42233</v>
      </c>
      <c r="B54" s="12">
        <v>17</v>
      </c>
      <c r="C54" s="12" t="s">
        <v>36</v>
      </c>
      <c r="D54" s="12">
        <v>2015</v>
      </c>
      <c r="E54" s="12">
        <v>43</v>
      </c>
      <c r="F54" s="12" t="s">
        <v>27</v>
      </c>
      <c r="G54" s="12" t="s">
        <v>31</v>
      </c>
      <c r="H54" s="12" t="s">
        <v>45</v>
      </c>
      <c r="I54" s="12" t="s">
        <v>47</v>
      </c>
      <c r="J54" s="12" t="s">
        <v>23</v>
      </c>
      <c r="K54" s="12" t="s">
        <v>24</v>
      </c>
      <c r="L54" s="12" t="s">
        <v>25</v>
      </c>
      <c r="M54" s="12">
        <v>27</v>
      </c>
      <c r="N54" s="12">
        <v>45</v>
      </c>
      <c r="O54" s="12">
        <v>120</v>
      </c>
      <c r="P54" s="12">
        <v>1636</v>
      </c>
      <c r="Q54" s="12">
        <v>1215</v>
      </c>
      <c r="R54" s="12">
        <v>2851</v>
      </c>
    </row>
    <row r="55" spans="1:18" x14ac:dyDescent="0.25">
      <c r="A55" s="13">
        <v>41472</v>
      </c>
      <c r="B55" s="12">
        <v>17</v>
      </c>
      <c r="C55" s="12" t="s">
        <v>34</v>
      </c>
      <c r="D55" s="12">
        <v>2013</v>
      </c>
      <c r="E55" s="12">
        <v>24</v>
      </c>
      <c r="F55" s="12" t="s">
        <v>19</v>
      </c>
      <c r="G55" s="12" t="s">
        <v>31</v>
      </c>
      <c r="H55" s="12" t="s">
        <v>28</v>
      </c>
      <c r="I55" s="12" t="s">
        <v>48</v>
      </c>
      <c r="J55" s="12" t="s">
        <v>23</v>
      </c>
      <c r="K55" s="12" t="s">
        <v>24</v>
      </c>
      <c r="L55" s="12" t="s">
        <v>25</v>
      </c>
      <c r="M55" s="12">
        <v>9</v>
      </c>
      <c r="N55" s="12">
        <v>45</v>
      </c>
      <c r="O55" s="12">
        <v>120</v>
      </c>
      <c r="P55" s="12">
        <v>502</v>
      </c>
      <c r="Q55" s="12">
        <v>405</v>
      </c>
      <c r="R55" s="12">
        <v>907</v>
      </c>
    </row>
    <row r="56" spans="1:18" x14ac:dyDescent="0.25">
      <c r="A56" s="13">
        <v>42202</v>
      </c>
      <c r="B56" s="12">
        <v>17</v>
      </c>
      <c r="C56" s="12" t="s">
        <v>34</v>
      </c>
      <c r="D56" s="12">
        <v>2015</v>
      </c>
      <c r="E56" s="12">
        <v>24</v>
      </c>
      <c r="F56" s="12" t="s">
        <v>19</v>
      </c>
      <c r="G56" s="12" t="s">
        <v>31</v>
      </c>
      <c r="H56" s="12" t="s">
        <v>28</v>
      </c>
      <c r="I56" s="12" t="s">
        <v>48</v>
      </c>
      <c r="J56" s="12" t="s">
        <v>23</v>
      </c>
      <c r="K56" s="12" t="s">
        <v>24</v>
      </c>
      <c r="L56" s="12" t="s">
        <v>25</v>
      </c>
      <c r="M56" s="12">
        <v>6</v>
      </c>
      <c r="N56" s="12">
        <v>45</v>
      </c>
      <c r="O56" s="12">
        <v>120</v>
      </c>
      <c r="P56" s="12">
        <v>335</v>
      </c>
      <c r="Q56" s="12">
        <v>270</v>
      </c>
      <c r="R56" s="12">
        <v>605</v>
      </c>
    </row>
    <row r="57" spans="1:18" x14ac:dyDescent="0.25">
      <c r="A57" s="13">
        <v>41639</v>
      </c>
      <c r="B57" s="12">
        <v>31</v>
      </c>
      <c r="C57" s="12" t="s">
        <v>41</v>
      </c>
      <c r="D57" s="12">
        <v>2013</v>
      </c>
      <c r="E57" s="12">
        <v>23</v>
      </c>
      <c r="F57" s="12" t="s">
        <v>19</v>
      </c>
      <c r="G57" s="12" t="s">
        <v>20</v>
      </c>
      <c r="H57" s="12" t="s">
        <v>39</v>
      </c>
      <c r="I57" s="12" t="s">
        <v>42</v>
      </c>
      <c r="J57" s="12" t="s">
        <v>23</v>
      </c>
      <c r="K57" s="12" t="s">
        <v>24</v>
      </c>
      <c r="L57" s="12" t="s">
        <v>25</v>
      </c>
      <c r="M57" s="12">
        <v>6</v>
      </c>
      <c r="N57" s="12">
        <v>45</v>
      </c>
      <c r="O57" s="12">
        <v>120</v>
      </c>
      <c r="P57" s="12">
        <v>436</v>
      </c>
      <c r="Q57" s="12">
        <v>270</v>
      </c>
      <c r="R57" s="12">
        <v>706</v>
      </c>
    </row>
    <row r="58" spans="1:18" x14ac:dyDescent="0.25">
      <c r="A58" s="13">
        <v>42369</v>
      </c>
      <c r="B58" s="12">
        <v>31</v>
      </c>
      <c r="C58" s="12" t="s">
        <v>41</v>
      </c>
      <c r="D58" s="12">
        <v>2015</v>
      </c>
      <c r="E58" s="12">
        <v>23</v>
      </c>
      <c r="F58" s="12" t="s">
        <v>19</v>
      </c>
      <c r="G58" s="12" t="s">
        <v>20</v>
      </c>
      <c r="H58" s="12" t="s">
        <v>39</v>
      </c>
      <c r="I58" s="12" t="s">
        <v>42</v>
      </c>
      <c r="J58" s="12" t="s">
        <v>23</v>
      </c>
      <c r="K58" s="12" t="s">
        <v>24</v>
      </c>
      <c r="L58" s="12" t="s">
        <v>25</v>
      </c>
      <c r="M58" s="12">
        <v>7</v>
      </c>
      <c r="N58" s="12">
        <v>45</v>
      </c>
      <c r="O58" s="12">
        <v>120</v>
      </c>
      <c r="P58" s="12">
        <v>508</v>
      </c>
      <c r="Q58" s="12">
        <v>315</v>
      </c>
      <c r="R58" s="12">
        <v>823</v>
      </c>
    </row>
    <row r="59" spans="1:18" x14ac:dyDescent="0.25">
      <c r="A59" s="13">
        <v>41534</v>
      </c>
      <c r="B59" s="12">
        <v>17</v>
      </c>
      <c r="C59" s="12" t="s">
        <v>37</v>
      </c>
      <c r="D59" s="12">
        <v>2013</v>
      </c>
      <c r="E59" s="12">
        <v>29</v>
      </c>
      <c r="F59" s="12" t="s">
        <v>35</v>
      </c>
      <c r="G59" s="12" t="s">
        <v>31</v>
      </c>
      <c r="H59" s="12" t="s">
        <v>49</v>
      </c>
      <c r="I59" s="12" t="s">
        <v>50</v>
      </c>
      <c r="J59" s="12" t="s">
        <v>23</v>
      </c>
      <c r="K59" s="12" t="s">
        <v>24</v>
      </c>
      <c r="L59" s="12" t="s">
        <v>25</v>
      </c>
      <c r="M59" s="12">
        <v>15</v>
      </c>
      <c r="N59" s="12">
        <v>45</v>
      </c>
      <c r="O59" s="12">
        <v>120</v>
      </c>
      <c r="P59" s="12">
        <v>1053</v>
      </c>
      <c r="Q59" s="12">
        <v>675</v>
      </c>
      <c r="R59" s="12">
        <v>1728</v>
      </c>
    </row>
    <row r="60" spans="1:18" x14ac:dyDescent="0.25">
      <c r="A60" s="13">
        <v>42264</v>
      </c>
      <c r="B60" s="12">
        <v>17</v>
      </c>
      <c r="C60" s="12" t="s">
        <v>37</v>
      </c>
      <c r="D60" s="12">
        <v>2015</v>
      </c>
      <c r="E60" s="12">
        <v>29</v>
      </c>
      <c r="F60" s="12" t="s">
        <v>35</v>
      </c>
      <c r="G60" s="12" t="s">
        <v>31</v>
      </c>
      <c r="H60" s="12" t="s">
        <v>49</v>
      </c>
      <c r="I60" s="12" t="s">
        <v>50</v>
      </c>
      <c r="J60" s="12" t="s">
        <v>23</v>
      </c>
      <c r="K60" s="12" t="s">
        <v>24</v>
      </c>
      <c r="L60" s="12" t="s">
        <v>25</v>
      </c>
      <c r="M60" s="12">
        <v>15</v>
      </c>
      <c r="N60" s="12">
        <v>45</v>
      </c>
      <c r="O60" s="12">
        <v>120</v>
      </c>
      <c r="P60" s="12">
        <v>1053</v>
      </c>
      <c r="Q60" s="12">
        <v>675</v>
      </c>
      <c r="R60" s="12">
        <v>1728</v>
      </c>
    </row>
    <row r="61" spans="1:18" x14ac:dyDescent="0.25">
      <c r="A61" s="13">
        <v>41541</v>
      </c>
      <c r="B61" s="12">
        <v>24</v>
      </c>
      <c r="C61" s="12" t="s">
        <v>37</v>
      </c>
      <c r="D61" s="12">
        <v>2013</v>
      </c>
      <c r="E61" s="12">
        <v>32</v>
      </c>
      <c r="F61" s="12" t="s">
        <v>35</v>
      </c>
      <c r="G61" s="12" t="s">
        <v>20</v>
      </c>
      <c r="H61" s="12" t="s">
        <v>45</v>
      </c>
      <c r="I61" s="12" t="s">
        <v>51</v>
      </c>
      <c r="J61" s="12" t="s">
        <v>23</v>
      </c>
      <c r="K61" s="12" t="s">
        <v>24</v>
      </c>
      <c r="L61" s="12" t="s">
        <v>25</v>
      </c>
      <c r="M61" s="12">
        <v>6</v>
      </c>
      <c r="N61" s="12">
        <v>45</v>
      </c>
      <c r="O61" s="12">
        <v>120</v>
      </c>
      <c r="P61" s="12">
        <v>356</v>
      </c>
      <c r="Q61" s="12">
        <v>270</v>
      </c>
      <c r="R61" s="12">
        <v>626</v>
      </c>
    </row>
    <row r="62" spans="1:18" x14ac:dyDescent="0.25">
      <c r="A62" s="13">
        <v>42271</v>
      </c>
      <c r="B62" s="12">
        <v>24</v>
      </c>
      <c r="C62" s="12" t="s">
        <v>37</v>
      </c>
      <c r="D62" s="12">
        <v>2015</v>
      </c>
      <c r="E62" s="12">
        <v>32</v>
      </c>
      <c r="F62" s="12" t="s">
        <v>35</v>
      </c>
      <c r="G62" s="12" t="s">
        <v>20</v>
      </c>
      <c r="H62" s="12" t="s">
        <v>45</v>
      </c>
      <c r="I62" s="12" t="s">
        <v>51</v>
      </c>
      <c r="J62" s="12" t="s">
        <v>23</v>
      </c>
      <c r="K62" s="12" t="s">
        <v>24</v>
      </c>
      <c r="L62" s="12" t="s">
        <v>25</v>
      </c>
      <c r="M62" s="12">
        <v>3</v>
      </c>
      <c r="N62" s="12">
        <v>45</v>
      </c>
      <c r="O62" s="12">
        <v>120</v>
      </c>
      <c r="P62" s="12">
        <v>178</v>
      </c>
      <c r="Q62" s="12">
        <v>135</v>
      </c>
      <c r="R62" s="12">
        <v>313</v>
      </c>
    </row>
    <row r="63" spans="1:18" x14ac:dyDescent="0.25">
      <c r="A63" s="13">
        <v>41542</v>
      </c>
      <c r="B63" s="12">
        <v>25</v>
      </c>
      <c r="C63" s="12" t="s">
        <v>37</v>
      </c>
      <c r="D63" s="12">
        <v>2013</v>
      </c>
      <c r="E63" s="12">
        <v>19</v>
      </c>
      <c r="F63" s="12" t="s">
        <v>19</v>
      </c>
      <c r="G63" s="12" t="s">
        <v>31</v>
      </c>
      <c r="H63" s="12" t="s">
        <v>43</v>
      </c>
      <c r="I63" s="12" t="s">
        <v>44</v>
      </c>
      <c r="J63" s="12" t="s">
        <v>23</v>
      </c>
      <c r="K63" s="12" t="s">
        <v>24</v>
      </c>
      <c r="L63" s="12" t="s">
        <v>25</v>
      </c>
      <c r="M63" s="12">
        <v>6</v>
      </c>
      <c r="N63" s="12">
        <v>45</v>
      </c>
      <c r="O63" s="12">
        <v>120</v>
      </c>
      <c r="P63" s="12">
        <v>320</v>
      </c>
      <c r="Q63" s="12">
        <v>270</v>
      </c>
      <c r="R63" s="12">
        <v>590</v>
      </c>
    </row>
    <row r="64" spans="1:18" x14ac:dyDescent="0.25">
      <c r="A64" s="13">
        <v>42272</v>
      </c>
      <c r="B64" s="12">
        <v>25</v>
      </c>
      <c r="C64" s="12" t="s">
        <v>37</v>
      </c>
      <c r="D64" s="12">
        <v>2015</v>
      </c>
      <c r="E64" s="12">
        <v>19</v>
      </c>
      <c r="F64" s="12" t="s">
        <v>19</v>
      </c>
      <c r="G64" s="12" t="s">
        <v>31</v>
      </c>
      <c r="H64" s="12" t="s">
        <v>43</v>
      </c>
      <c r="I64" s="12" t="s">
        <v>44</v>
      </c>
      <c r="J64" s="12" t="s">
        <v>23</v>
      </c>
      <c r="K64" s="12" t="s">
        <v>24</v>
      </c>
      <c r="L64" s="12" t="s">
        <v>25</v>
      </c>
      <c r="M64" s="12">
        <v>8</v>
      </c>
      <c r="N64" s="12">
        <v>45</v>
      </c>
      <c r="O64" s="12">
        <v>120</v>
      </c>
      <c r="P64" s="12">
        <v>427</v>
      </c>
      <c r="Q64" s="12">
        <v>360</v>
      </c>
      <c r="R64" s="12">
        <v>787</v>
      </c>
    </row>
    <row r="65" spans="1:18" x14ac:dyDescent="0.25">
      <c r="A65" s="13">
        <v>41604</v>
      </c>
      <c r="B65" s="12">
        <v>26</v>
      </c>
      <c r="C65" s="12" t="s">
        <v>18</v>
      </c>
      <c r="D65" s="12">
        <v>2013</v>
      </c>
      <c r="E65" s="12">
        <v>26</v>
      </c>
      <c r="F65" s="12" t="s">
        <v>35</v>
      </c>
      <c r="G65" s="12" t="s">
        <v>31</v>
      </c>
      <c r="H65" s="12" t="s">
        <v>21</v>
      </c>
      <c r="I65" s="12" t="s">
        <v>22</v>
      </c>
      <c r="J65" s="12" t="s">
        <v>23</v>
      </c>
      <c r="K65" s="12" t="s">
        <v>24</v>
      </c>
      <c r="L65" s="12" t="s">
        <v>25</v>
      </c>
      <c r="M65" s="12">
        <v>7</v>
      </c>
      <c r="N65" s="12">
        <v>45</v>
      </c>
      <c r="O65" s="12">
        <v>120</v>
      </c>
      <c r="P65" s="12">
        <v>517</v>
      </c>
      <c r="Q65" s="12">
        <v>315</v>
      </c>
      <c r="R65" s="12">
        <v>832</v>
      </c>
    </row>
    <row r="66" spans="1:18" x14ac:dyDescent="0.25">
      <c r="A66" s="13">
        <v>41489</v>
      </c>
      <c r="B66" s="12">
        <v>3</v>
      </c>
      <c r="C66" s="12" t="s">
        <v>36</v>
      </c>
      <c r="D66" s="12">
        <v>2013</v>
      </c>
      <c r="E66" s="12">
        <v>35</v>
      </c>
      <c r="F66" s="12" t="s">
        <v>27</v>
      </c>
      <c r="G66" s="12" t="s">
        <v>20</v>
      </c>
      <c r="H66" s="12" t="s">
        <v>21</v>
      </c>
      <c r="I66" s="12" t="s">
        <v>22</v>
      </c>
      <c r="J66" s="12" t="s">
        <v>23</v>
      </c>
      <c r="K66" s="12" t="s">
        <v>24</v>
      </c>
      <c r="L66" s="12" t="s">
        <v>25</v>
      </c>
      <c r="M66" s="12">
        <v>1</v>
      </c>
      <c r="N66" s="12">
        <v>45</v>
      </c>
      <c r="O66" s="12">
        <v>120</v>
      </c>
      <c r="P66" s="12">
        <v>74</v>
      </c>
      <c r="Q66" s="12">
        <v>45</v>
      </c>
      <c r="R66" s="12">
        <v>119</v>
      </c>
    </row>
    <row r="67" spans="1:18" x14ac:dyDescent="0.25">
      <c r="A67" s="13">
        <v>41809</v>
      </c>
      <c r="B67" s="12">
        <v>19</v>
      </c>
      <c r="C67" s="12" t="s">
        <v>52</v>
      </c>
      <c r="D67" s="12">
        <v>2014</v>
      </c>
      <c r="E67" s="12">
        <v>35</v>
      </c>
      <c r="F67" s="12" t="s">
        <v>27</v>
      </c>
      <c r="G67" s="12" t="s">
        <v>20</v>
      </c>
      <c r="H67" s="12" t="s">
        <v>21</v>
      </c>
      <c r="I67" s="12" t="s">
        <v>22</v>
      </c>
      <c r="J67" s="12" t="s">
        <v>23</v>
      </c>
      <c r="K67" s="12" t="s">
        <v>24</v>
      </c>
      <c r="L67" s="12" t="s">
        <v>25</v>
      </c>
      <c r="M67" s="12">
        <v>10</v>
      </c>
      <c r="N67" s="12">
        <v>45</v>
      </c>
      <c r="O67" s="12">
        <v>120</v>
      </c>
      <c r="P67" s="12">
        <v>738</v>
      </c>
      <c r="Q67" s="12">
        <v>450</v>
      </c>
      <c r="R67" s="12">
        <v>1188</v>
      </c>
    </row>
    <row r="68" spans="1:18" x14ac:dyDescent="0.25">
      <c r="A68" s="13">
        <v>42540</v>
      </c>
      <c r="B68" s="12">
        <v>19</v>
      </c>
      <c r="C68" s="12" t="s">
        <v>52</v>
      </c>
      <c r="D68" s="12">
        <v>2016</v>
      </c>
      <c r="E68" s="12">
        <v>35</v>
      </c>
      <c r="F68" s="12" t="s">
        <v>27</v>
      </c>
      <c r="G68" s="12" t="s">
        <v>20</v>
      </c>
      <c r="H68" s="12" t="s">
        <v>21</v>
      </c>
      <c r="I68" s="12" t="s">
        <v>22</v>
      </c>
      <c r="J68" s="12" t="s">
        <v>23</v>
      </c>
      <c r="K68" s="12" t="s">
        <v>24</v>
      </c>
      <c r="L68" s="12" t="s">
        <v>25</v>
      </c>
      <c r="M68" s="12">
        <v>12</v>
      </c>
      <c r="N68" s="12">
        <v>45</v>
      </c>
      <c r="O68" s="12">
        <v>120</v>
      </c>
      <c r="P68" s="12">
        <v>886</v>
      </c>
      <c r="Q68" s="12">
        <v>540</v>
      </c>
      <c r="R68" s="12">
        <v>1426</v>
      </c>
    </row>
    <row r="69" spans="1:18" x14ac:dyDescent="0.25">
      <c r="A69" s="13">
        <v>41702</v>
      </c>
      <c r="B69" s="12">
        <v>4</v>
      </c>
      <c r="C69" s="12" t="s">
        <v>26</v>
      </c>
      <c r="D69" s="12">
        <v>2014</v>
      </c>
      <c r="E69" s="12">
        <v>38</v>
      </c>
      <c r="F69" s="12" t="s">
        <v>27</v>
      </c>
      <c r="G69" s="12" t="s">
        <v>31</v>
      </c>
      <c r="H69" s="12" t="s">
        <v>39</v>
      </c>
      <c r="I69" s="12" t="s">
        <v>42</v>
      </c>
      <c r="J69" s="12" t="s">
        <v>23</v>
      </c>
      <c r="K69" s="12" t="s">
        <v>24</v>
      </c>
      <c r="L69" s="12" t="s">
        <v>25</v>
      </c>
      <c r="M69" s="12">
        <v>4</v>
      </c>
      <c r="N69" s="12">
        <v>45</v>
      </c>
      <c r="O69" s="12">
        <v>120</v>
      </c>
      <c r="P69" s="12">
        <v>290</v>
      </c>
      <c r="Q69" s="12">
        <v>180</v>
      </c>
      <c r="R69" s="12">
        <v>470</v>
      </c>
    </row>
    <row r="70" spans="1:18" x14ac:dyDescent="0.25">
      <c r="A70" s="13">
        <v>42433</v>
      </c>
      <c r="B70" s="12">
        <v>4</v>
      </c>
      <c r="C70" s="12" t="s">
        <v>26</v>
      </c>
      <c r="D70" s="12">
        <v>2016</v>
      </c>
      <c r="E70" s="12">
        <v>38</v>
      </c>
      <c r="F70" s="12" t="s">
        <v>27</v>
      </c>
      <c r="G70" s="12" t="s">
        <v>31</v>
      </c>
      <c r="H70" s="12" t="s">
        <v>39</v>
      </c>
      <c r="I70" s="12" t="s">
        <v>42</v>
      </c>
      <c r="J70" s="12" t="s">
        <v>23</v>
      </c>
      <c r="K70" s="12" t="s">
        <v>24</v>
      </c>
      <c r="L70" s="12" t="s">
        <v>25</v>
      </c>
      <c r="M70" s="12">
        <v>3</v>
      </c>
      <c r="N70" s="12">
        <v>45</v>
      </c>
      <c r="O70" s="12">
        <v>120</v>
      </c>
      <c r="P70" s="12">
        <v>218</v>
      </c>
      <c r="Q70" s="12">
        <v>135</v>
      </c>
      <c r="R70" s="12">
        <v>353</v>
      </c>
    </row>
    <row r="71" spans="1:18" x14ac:dyDescent="0.25">
      <c r="A71" s="13">
        <v>41789</v>
      </c>
      <c r="B71" s="12">
        <v>30</v>
      </c>
      <c r="C71" s="12" t="s">
        <v>30</v>
      </c>
      <c r="D71" s="12">
        <v>2014</v>
      </c>
      <c r="E71" s="12">
        <v>38</v>
      </c>
      <c r="F71" s="12" t="s">
        <v>27</v>
      </c>
      <c r="G71" s="12" t="s">
        <v>31</v>
      </c>
      <c r="H71" s="12" t="s">
        <v>39</v>
      </c>
      <c r="I71" s="12" t="s">
        <v>42</v>
      </c>
      <c r="J71" s="12" t="s">
        <v>23</v>
      </c>
      <c r="K71" s="12" t="s">
        <v>24</v>
      </c>
      <c r="L71" s="12" t="s">
        <v>25</v>
      </c>
      <c r="M71" s="12">
        <v>2</v>
      </c>
      <c r="N71" s="12">
        <v>45</v>
      </c>
      <c r="O71" s="12">
        <v>120</v>
      </c>
      <c r="P71" s="12">
        <v>145</v>
      </c>
      <c r="Q71" s="12">
        <v>90</v>
      </c>
      <c r="R71" s="12">
        <v>235</v>
      </c>
    </row>
    <row r="72" spans="1:18" x14ac:dyDescent="0.25">
      <c r="A72" s="13">
        <v>42520</v>
      </c>
      <c r="B72" s="12">
        <v>30</v>
      </c>
      <c r="C72" s="12" t="s">
        <v>30</v>
      </c>
      <c r="D72" s="12">
        <v>2016</v>
      </c>
      <c r="E72" s="12">
        <v>38</v>
      </c>
      <c r="F72" s="12" t="s">
        <v>27</v>
      </c>
      <c r="G72" s="12" t="s">
        <v>31</v>
      </c>
      <c r="H72" s="12" t="s">
        <v>39</v>
      </c>
      <c r="I72" s="12" t="s">
        <v>42</v>
      </c>
      <c r="J72" s="12" t="s">
        <v>23</v>
      </c>
      <c r="K72" s="12" t="s">
        <v>24</v>
      </c>
      <c r="L72" s="12" t="s">
        <v>25</v>
      </c>
      <c r="M72" s="12">
        <v>2</v>
      </c>
      <c r="N72" s="12">
        <v>45</v>
      </c>
      <c r="O72" s="12">
        <v>120</v>
      </c>
      <c r="P72" s="12">
        <v>145</v>
      </c>
      <c r="Q72" s="12">
        <v>90</v>
      </c>
      <c r="R72" s="12">
        <v>235</v>
      </c>
    </row>
    <row r="73" spans="1:18" x14ac:dyDescent="0.25">
      <c r="A73" s="13">
        <v>41818</v>
      </c>
      <c r="B73" s="12">
        <v>28</v>
      </c>
      <c r="C73" s="12" t="s">
        <v>52</v>
      </c>
      <c r="D73" s="12">
        <v>2014</v>
      </c>
      <c r="E73" s="12">
        <v>38</v>
      </c>
      <c r="F73" s="12" t="s">
        <v>27</v>
      </c>
      <c r="G73" s="12" t="s">
        <v>31</v>
      </c>
      <c r="H73" s="12" t="s">
        <v>39</v>
      </c>
      <c r="I73" s="12" t="s">
        <v>42</v>
      </c>
      <c r="J73" s="12" t="s">
        <v>23</v>
      </c>
      <c r="K73" s="12" t="s">
        <v>24</v>
      </c>
      <c r="L73" s="12" t="s">
        <v>25</v>
      </c>
      <c r="M73" s="12">
        <v>10</v>
      </c>
      <c r="N73" s="12">
        <v>45</v>
      </c>
      <c r="O73" s="12">
        <v>120</v>
      </c>
      <c r="P73" s="12">
        <v>726</v>
      </c>
      <c r="Q73" s="12">
        <v>450</v>
      </c>
      <c r="R73" s="12">
        <v>1176</v>
      </c>
    </row>
    <row r="74" spans="1:18" x14ac:dyDescent="0.25">
      <c r="A74" s="13">
        <v>42549</v>
      </c>
      <c r="B74" s="12">
        <v>28</v>
      </c>
      <c r="C74" s="12" t="s">
        <v>52</v>
      </c>
      <c r="D74" s="12">
        <v>2016</v>
      </c>
      <c r="E74" s="12">
        <v>38</v>
      </c>
      <c r="F74" s="12" t="s">
        <v>27</v>
      </c>
      <c r="G74" s="12" t="s">
        <v>31</v>
      </c>
      <c r="H74" s="12" t="s">
        <v>39</v>
      </c>
      <c r="I74" s="12" t="s">
        <v>42</v>
      </c>
      <c r="J74" s="12" t="s">
        <v>23</v>
      </c>
      <c r="K74" s="12" t="s">
        <v>24</v>
      </c>
      <c r="L74" s="12" t="s">
        <v>25</v>
      </c>
      <c r="M74" s="12">
        <v>7</v>
      </c>
      <c r="N74" s="12">
        <v>45</v>
      </c>
      <c r="O74" s="12">
        <v>120</v>
      </c>
      <c r="P74" s="12">
        <v>508</v>
      </c>
      <c r="Q74" s="12">
        <v>315</v>
      </c>
      <c r="R74" s="12">
        <v>823</v>
      </c>
    </row>
    <row r="75" spans="1:18" x14ac:dyDescent="0.25">
      <c r="A75" s="13">
        <v>41830</v>
      </c>
      <c r="B75" s="12">
        <v>10</v>
      </c>
      <c r="C75" s="12" t="s">
        <v>34</v>
      </c>
      <c r="D75" s="12">
        <v>2014</v>
      </c>
      <c r="E75" s="12">
        <v>38</v>
      </c>
      <c r="F75" s="12" t="s">
        <v>27</v>
      </c>
      <c r="G75" s="12" t="s">
        <v>31</v>
      </c>
      <c r="H75" s="12" t="s">
        <v>39</v>
      </c>
      <c r="I75" s="12" t="s">
        <v>42</v>
      </c>
      <c r="J75" s="12" t="s">
        <v>23</v>
      </c>
      <c r="K75" s="12" t="s">
        <v>24</v>
      </c>
      <c r="L75" s="12" t="s">
        <v>25</v>
      </c>
      <c r="M75" s="12">
        <v>13</v>
      </c>
      <c r="N75" s="12">
        <v>45</v>
      </c>
      <c r="O75" s="12">
        <v>120</v>
      </c>
      <c r="P75" s="12">
        <v>944</v>
      </c>
      <c r="Q75" s="12">
        <v>585</v>
      </c>
      <c r="R75" s="12">
        <v>1529</v>
      </c>
    </row>
    <row r="76" spans="1:18" x14ac:dyDescent="0.25">
      <c r="A76" s="13">
        <v>42561</v>
      </c>
      <c r="B76" s="12">
        <v>10</v>
      </c>
      <c r="C76" s="12" t="s">
        <v>34</v>
      </c>
      <c r="D76" s="12">
        <v>2016</v>
      </c>
      <c r="E76" s="12">
        <v>38</v>
      </c>
      <c r="F76" s="12" t="s">
        <v>27</v>
      </c>
      <c r="G76" s="12" t="s">
        <v>31</v>
      </c>
      <c r="H76" s="12" t="s">
        <v>39</v>
      </c>
      <c r="I76" s="12" t="s">
        <v>42</v>
      </c>
      <c r="J76" s="12" t="s">
        <v>23</v>
      </c>
      <c r="K76" s="12" t="s">
        <v>24</v>
      </c>
      <c r="L76" s="12" t="s">
        <v>25</v>
      </c>
      <c r="M76" s="12">
        <v>12</v>
      </c>
      <c r="N76" s="12">
        <v>45</v>
      </c>
      <c r="O76" s="12">
        <v>120</v>
      </c>
      <c r="P76" s="12">
        <v>871</v>
      </c>
      <c r="Q76" s="12">
        <v>540</v>
      </c>
      <c r="R76" s="12">
        <v>1411</v>
      </c>
    </row>
    <row r="77" spans="1:18" x14ac:dyDescent="0.25">
      <c r="A77" s="13">
        <v>41710</v>
      </c>
      <c r="B77" s="12">
        <v>12</v>
      </c>
      <c r="C77" s="12" t="s">
        <v>26</v>
      </c>
      <c r="D77" s="12">
        <v>2014</v>
      </c>
      <c r="E77" s="12">
        <v>54</v>
      </c>
      <c r="F77" s="12" t="s">
        <v>27</v>
      </c>
      <c r="G77" s="12" t="s">
        <v>31</v>
      </c>
      <c r="H77" s="12" t="s">
        <v>28</v>
      </c>
      <c r="I77" s="12" t="s">
        <v>48</v>
      </c>
      <c r="J77" s="12" t="s">
        <v>23</v>
      </c>
      <c r="K77" s="12" t="s">
        <v>24</v>
      </c>
      <c r="L77" s="12" t="s">
        <v>25</v>
      </c>
      <c r="M77" s="12">
        <v>7</v>
      </c>
      <c r="N77" s="12">
        <v>45</v>
      </c>
      <c r="O77" s="12">
        <v>120</v>
      </c>
      <c r="P77" s="12">
        <v>391</v>
      </c>
      <c r="Q77" s="12">
        <v>315</v>
      </c>
      <c r="R77" s="12">
        <v>706</v>
      </c>
    </row>
    <row r="78" spans="1:18" x14ac:dyDescent="0.25">
      <c r="A78" s="13">
        <v>42441</v>
      </c>
      <c r="B78" s="12">
        <v>12</v>
      </c>
      <c r="C78" s="12" t="s">
        <v>26</v>
      </c>
      <c r="D78" s="12">
        <v>2016</v>
      </c>
      <c r="E78" s="12">
        <v>54</v>
      </c>
      <c r="F78" s="12" t="s">
        <v>27</v>
      </c>
      <c r="G78" s="12" t="s">
        <v>31</v>
      </c>
      <c r="H78" s="12" t="s">
        <v>28</v>
      </c>
      <c r="I78" s="12" t="s">
        <v>48</v>
      </c>
      <c r="J78" s="12" t="s">
        <v>23</v>
      </c>
      <c r="K78" s="12" t="s">
        <v>24</v>
      </c>
      <c r="L78" s="12" t="s">
        <v>25</v>
      </c>
      <c r="M78" s="12">
        <v>6</v>
      </c>
      <c r="N78" s="12">
        <v>45</v>
      </c>
      <c r="O78" s="12">
        <v>120</v>
      </c>
      <c r="P78" s="12">
        <v>335</v>
      </c>
      <c r="Q78" s="12">
        <v>270</v>
      </c>
      <c r="R78" s="12">
        <v>605</v>
      </c>
    </row>
    <row r="79" spans="1:18" x14ac:dyDescent="0.25">
      <c r="A79" s="13">
        <v>41520</v>
      </c>
      <c r="B79" s="12">
        <v>3</v>
      </c>
      <c r="C79" s="12" t="s">
        <v>37</v>
      </c>
      <c r="D79" s="12">
        <v>2013</v>
      </c>
      <c r="E79" s="12">
        <v>51</v>
      </c>
      <c r="F79" s="12" t="s">
        <v>27</v>
      </c>
      <c r="G79" s="12" t="s">
        <v>31</v>
      </c>
      <c r="H79" s="12" t="s">
        <v>39</v>
      </c>
      <c r="I79" s="12" t="s">
        <v>53</v>
      </c>
      <c r="J79" s="12" t="s">
        <v>23</v>
      </c>
      <c r="K79" s="12" t="s">
        <v>24</v>
      </c>
      <c r="L79" s="12" t="s">
        <v>25</v>
      </c>
      <c r="M79" s="12">
        <v>7</v>
      </c>
      <c r="N79" s="12">
        <v>45</v>
      </c>
      <c r="O79" s="12">
        <v>120</v>
      </c>
      <c r="P79" s="12">
        <v>340</v>
      </c>
      <c r="Q79" s="12">
        <v>315</v>
      </c>
      <c r="R79" s="12">
        <v>655</v>
      </c>
    </row>
    <row r="80" spans="1:18" x14ac:dyDescent="0.25">
      <c r="A80" s="13">
        <v>42250</v>
      </c>
      <c r="B80" s="12">
        <v>3</v>
      </c>
      <c r="C80" s="12" t="s">
        <v>37</v>
      </c>
      <c r="D80" s="12">
        <v>2015</v>
      </c>
      <c r="E80" s="12">
        <v>51</v>
      </c>
      <c r="F80" s="12" t="s">
        <v>27</v>
      </c>
      <c r="G80" s="12" t="s">
        <v>31</v>
      </c>
      <c r="H80" s="12" t="s">
        <v>39</v>
      </c>
      <c r="I80" s="12" t="s">
        <v>53</v>
      </c>
      <c r="J80" s="12" t="s">
        <v>23</v>
      </c>
      <c r="K80" s="12" t="s">
        <v>24</v>
      </c>
      <c r="L80" s="12" t="s">
        <v>25</v>
      </c>
      <c r="M80" s="12">
        <v>9</v>
      </c>
      <c r="N80" s="12">
        <v>45</v>
      </c>
      <c r="O80" s="12">
        <v>120</v>
      </c>
      <c r="P80" s="12">
        <v>437</v>
      </c>
      <c r="Q80" s="12">
        <v>405</v>
      </c>
      <c r="R80" s="12">
        <v>842</v>
      </c>
    </row>
    <row r="81" spans="1:18" x14ac:dyDescent="0.25">
      <c r="A81" s="13">
        <v>41724</v>
      </c>
      <c r="B81" s="12">
        <v>26</v>
      </c>
      <c r="C81" s="12" t="s">
        <v>26</v>
      </c>
      <c r="D81" s="12">
        <v>2014</v>
      </c>
      <c r="E81" s="12">
        <v>47</v>
      </c>
      <c r="F81" s="12" t="s">
        <v>27</v>
      </c>
      <c r="G81" s="12" t="s">
        <v>31</v>
      </c>
      <c r="H81" s="12" t="s">
        <v>39</v>
      </c>
      <c r="I81" s="12" t="s">
        <v>42</v>
      </c>
      <c r="J81" s="12" t="s">
        <v>23</v>
      </c>
      <c r="K81" s="12" t="s">
        <v>24</v>
      </c>
      <c r="L81" s="12" t="s">
        <v>25</v>
      </c>
      <c r="M81" s="12">
        <v>6</v>
      </c>
      <c r="N81" s="12">
        <v>45</v>
      </c>
      <c r="O81" s="12">
        <v>120</v>
      </c>
      <c r="P81" s="12">
        <v>436</v>
      </c>
      <c r="Q81" s="12">
        <v>270</v>
      </c>
      <c r="R81" s="12">
        <v>706</v>
      </c>
    </row>
    <row r="82" spans="1:18" x14ac:dyDescent="0.25">
      <c r="A82" s="13">
        <v>42455</v>
      </c>
      <c r="B82" s="12">
        <v>26</v>
      </c>
      <c r="C82" s="12" t="s">
        <v>26</v>
      </c>
      <c r="D82" s="12">
        <v>2016</v>
      </c>
      <c r="E82" s="12">
        <v>47</v>
      </c>
      <c r="F82" s="12" t="s">
        <v>27</v>
      </c>
      <c r="G82" s="12" t="s">
        <v>31</v>
      </c>
      <c r="H82" s="12" t="s">
        <v>39</v>
      </c>
      <c r="I82" s="12" t="s">
        <v>42</v>
      </c>
      <c r="J82" s="12" t="s">
        <v>23</v>
      </c>
      <c r="K82" s="12" t="s">
        <v>24</v>
      </c>
      <c r="L82" s="12" t="s">
        <v>25</v>
      </c>
      <c r="M82" s="12">
        <v>4</v>
      </c>
      <c r="N82" s="12">
        <v>45</v>
      </c>
      <c r="O82" s="12">
        <v>120</v>
      </c>
      <c r="P82" s="12">
        <v>290</v>
      </c>
      <c r="Q82" s="12">
        <v>180</v>
      </c>
      <c r="R82" s="12">
        <v>470</v>
      </c>
    </row>
    <row r="83" spans="1:18" x14ac:dyDescent="0.25">
      <c r="A83" s="13">
        <v>41763</v>
      </c>
      <c r="B83" s="12">
        <v>4</v>
      </c>
      <c r="C83" s="12" t="s">
        <v>30</v>
      </c>
      <c r="D83" s="12">
        <v>2014</v>
      </c>
      <c r="E83" s="12">
        <v>47</v>
      </c>
      <c r="F83" s="12" t="s">
        <v>27</v>
      </c>
      <c r="G83" s="12" t="s">
        <v>31</v>
      </c>
      <c r="H83" s="12" t="s">
        <v>39</v>
      </c>
      <c r="I83" s="12" t="s">
        <v>42</v>
      </c>
      <c r="J83" s="12" t="s">
        <v>23</v>
      </c>
      <c r="K83" s="12" t="s">
        <v>24</v>
      </c>
      <c r="L83" s="12" t="s">
        <v>25</v>
      </c>
      <c r="M83" s="12">
        <v>17</v>
      </c>
      <c r="N83" s="12">
        <v>45</v>
      </c>
      <c r="O83" s="12">
        <v>120</v>
      </c>
      <c r="P83" s="12">
        <v>1234</v>
      </c>
      <c r="Q83" s="12">
        <v>765</v>
      </c>
      <c r="R83" s="12">
        <v>1999</v>
      </c>
    </row>
    <row r="84" spans="1:18" x14ac:dyDescent="0.25">
      <c r="A84" s="13">
        <v>42494</v>
      </c>
      <c r="B84" s="12">
        <v>4</v>
      </c>
      <c r="C84" s="12" t="s">
        <v>30</v>
      </c>
      <c r="D84" s="12">
        <v>2016</v>
      </c>
      <c r="E84" s="12">
        <v>47</v>
      </c>
      <c r="F84" s="12" t="s">
        <v>27</v>
      </c>
      <c r="G84" s="12" t="s">
        <v>31</v>
      </c>
      <c r="H84" s="12" t="s">
        <v>39</v>
      </c>
      <c r="I84" s="12" t="s">
        <v>42</v>
      </c>
      <c r="J84" s="12" t="s">
        <v>23</v>
      </c>
      <c r="K84" s="12" t="s">
        <v>24</v>
      </c>
      <c r="L84" s="12" t="s">
        <v>25</v>
      </c>
      <c r="M84" s="12">
        <v>16</v>
      </c>
      <c r="N84" s="12">
        <v>45</v>
      </c>
      <c r="O84" s="12">
        <v>120</v>
      </c>
      <c r="P84" s="12">
        <v>1162</v>
      </c>
      <c r="Q84" s="12">
        <v>720</v>
      </c>
      <c r="R84" s="12">
        <v>1882</v>
      </c>
    </row>
    <row r="85" spans="1:18" x14ac:dyDescent="0.25">
      <c r="A85" s="13">
        <v>41674</v>
      </c>
      <c r="B85" s="12">
        <v>4</v>
      </c>
      <c r="C85" s="12" t="s">
        <v>33</v>
      </c>
      <c r="D85" s="12">
        <v>2014</v>
      </c>
      <c r="E85" s="12">
        <v>46</v>
      </c>
      <c r="F85" s="12" t="s">
        <v>27</v>
      </c>
      <c r="G85" s="12" t="s">
        <v>20</v>
      </c>
      <c r="H85" s="12" t="s">
        <v>39</v>
      </c>
      <c r="I85" s="12" t="s">
        <v>53</v>
      </c>
      <c r="J85" s="12" t="s">
        <v>23</v>
      </c>
      <c r="K85" s="12" t="s">
        <v>24</v>
      </c>
      <c r="L85" s="12" t="s">
        <v>25</v>
      </c>
      <c r="M85" s="12">
        <v>1</v>
      </c>
      <c r="N85" s="12">
        <v>45</v>
      </c>
      <c r="O85" s="12">
        <v>120</v>
      </c>
      <c r="P85" s="12">
        <v>49</v>
      </c>
      <c r="Q85" s="12">
        <v>45</v>
      </c>
      <c r="R85" s="12">
        <v>94</v>
      </c>
    </row>
    <row r="86" spans="1:18" x14ac:dyDescent="0.25">
      <c r="A86" s="13">
        <v>42404</v>
      </c>
      <c r="B86" s="12">
        <v>4</v>
      </c>
      <c r="C86" s="12" t="s">
        <v>33</v>
      </c>
      <c r="D86" s="12">
        <v>2016</v>
      </c>
      <c r="E86" s="12">
        <v>46</v>
      </c>
      <c r="F86" s="12" t="s">
        <v>27</v>
      </c>
      <c r="G86" s="12" t="s">
        <v>20</v>
      </c>
      <c r="H86" s="12" t="s">
        <v>39</v>
      </c>
      <c r="I86" s="12" t="s">
        <v>53</v>
      </c>
      <c r="J86" s="12" t="s">
        <v>23</v>
      </c>
      <c r="K86" s="12" t="s">
        <v>24</v>
      </c>
      <c r="L86" s="12" t="s">
        <v>25</v>
      </c>
      <c r="M86" s="12">
        <v>3</v>
      </c>
      <c r="N86" s="12">
        <v>45</v>
      </c>
      <c r="O86" s="12">
        <v>120</v>
      </c>
      <c r="P86" s="12">
        <v>146</v>
      </c>
      <c r="Q86" s="12">
        <v>135</v>
      </c>
      <c r="R86" s="12">
        <v>281</v>
      </c>
    </row>
    <row r="87" spans="1:18" x14ac:dyDescent="0.25">
      <c r="A87" s="13">
        <v>41584</v>
      </c>
      <c r="B87" s="12">
        <v>6</v>
      </c>
      <c r="C87" s="12" t="s">
        <v>18</v>
      </c>
      <c r="D87" s="12">
        <v>2013</v>
      </c>
      <c r="E87" s="12">
        <v>46</v>
      </c>
      <c r="F87" s="12" t="s">
        <v>27</v>
      </c>
      <c r="G87" s="12" t="s">
        <v>20</v>
      </c>
      <c r="H87" s="12" t="s">
        <v>39</v>
      </c>
      <c r="I87" s="12" t="s">
        <v>42</v>
      </c>
      <c r="J87" s="12" t="s">
        <v>23</v>
      </c>
      <c r="K87" s="12" t="s">
        <v>24</v>
      </c>
      <c r="L87" s="12" t="s">
        <v>25</v>
      </c>
      <c r="M87" s="12">
        <v>5</v>
      </c>
      <c r="N87" s="12">
        <v>45</v>
      </c>
      <c r="O87" s="12">
        <v>120</v>
      </c>
      <c r="P87" s="12">
        <v>363</v>
      </c>
      <c r="Q87" s="12">
        <v>225</v>
      </c>
      <c r="R87" s="12">
        <v>588</v>
      </c>
    </row>
    <row r="88" spans="1:18" x14ac:dyDescent="0.25">
      <c r="A88" s="13">
        <v>42314</v>
      </c>
      <c r="B88" s="12">
        <v>6</v>
      </c>
      <c r="C88" s="12" t="s">
        <v>18</v>
      </c>
      <c r="D88" s="12">
        <v>2015</v>
      </c>
      <c r="E88" s="12">
        <v>46</v>
      </c>
      <c r="F88" s="12" t="s">
        <v>27</v>
      </c>
      <c r="G88" s="12" t="s">
        <v>20</v>
      </c>
      <c r="H88" s="12" t="s">
        <v>39</v>
      </c>
      <c r="I88" s="12" t="s">
        <v>42</v>
      </c>
      <c r="J88" s="12" t="s">
        <v>23</v>
      </c>
      <c r="K88" s="12" t="s">
        <v>24</v>
      </c>
      <c r="L88" s="12" t="s">
        <v>25</v>
      </c>
      <c r="M88" s="12">
        <v>4</v>
      </c>
      <c r="N88" s="12">
        <v>45</v>
      </c>
      <c r="O88" s="12">
        <v>120</v>
      </c>
      <c r="P88" s="12">
        <v>290</v>
      </c>
      <c r="Q88" s="12">
        <v>180</v>
      </c>
      <c r="R88" s="12">
        <v>470</v>
      </c>
    </row>
    <row r="89" spans="1:18" x14ac:dyDescent="0.25">
      <c r="A89" s="13">
        <v>41682</v>
      </c>
      <c r="B89" s="12">
        <v>12</v>
      </c>
      <c r="C89" s="12" t="s">
        <v>33</v>
      </c>
      <c r="D89" s="12">
        <v>2014</v>
      </c>
      <c r="E89" s="12">
        <v>46</v>
      </c>
      <c r="F89" s="12" t="s">
        <v>27</v>
      </c>
      <c r="G89" s="12" t="s">
        <v>20</v>
      </c>
      <c r="H89" s="12" t="s">
        <v>39</v>
      </c>
      <c r="I89" s="12" t="s">
        <v>42</v>
      </c>
      <c r="J89" s="12" t="s">
        <v>23</v>
      </c>
      <c r="K89" s="12" t="s">
        <v>24</v>
      </c>
      <c r="L89" s="12" t="s">
        <v>25</v>
      </c>
      <c r="M89" s="12">
        <v>30</v>
      </c>
      <c r="N89" s="12">
        <v>45</v>
      </c>
      <c r="O89" s="12">
        <v>120</v>
      </c>
      <c r="P89" s="12">
        <v>2178</v>
      </c>
      <c r="Q89" s="12">
        <v>1350</v>
      </c>
      <c r="R89" s="12">
        <v>3528</v>
      </c>
    </row>
    <row r="90" spans="1:18" x14ac:dyDescent="0.25">
      <c r="A90" s="13">
        <v>42412</v>
      </c>
      <c r="B90" s="12">
        <v>12</v>
      </c>
      <c r="C90" s="12" t="s">
        <v>33</v>
      </c>
      <c r="D90" s="12">
        <v>2016</v>
      </c>
      <c r="E90" s="12">
        <v>46</v>
      </c>
      <c r="F90" s="12" t="s">
        <v>27</v>
      </c>
      <c r="G90" s="12" t="s">
        <v>20</v>
      </c>
      <c r="H90" s="12" t="s">
        <v>39</v>
      </c>
      <c r="I90" s="12" t="s">
        <v>42</v>
      </c>
      <c r="J90" s="12" t="s">
        <v>23</v>
      </c>
      <c r="K90" s="12" t="s">
        <v>24</v>
      </c>
      <c r="L90" s="12" t="s">
        <v>25</v>
      </c>
      <c r="M90" s="12">
        <v>27</v>
      </c>
      <c r="N90" s="12">
        <v>45</v>
      </c>
      <c r="O90" s="12">
        <v>120</v>
      </c>
      <c r="P90" s="12">
        <v>1960</v>
      </c>
      <c r="Q90" s="12">
        <v>1215</v>
      </c>
      <c r="R90" s="12">
        <v>3175</v>
      </c>
    </row>
    <row r="91" spans="1:18" x14ac:dyDescent="0.25">
      <c r="A91" s="13">
        <v>41776</v>
      </c>
      <c r="B91" s="12">
        <v>17</v>
      </c>
      <c r="C91" s="12" t="s">
        <v>30</v>
      </c>
      <c r="D91" s="12">
        <v>2014</v>
      </c>
      <c r="E91" s="12">
        <v>46</v>
      </c>
      <c r="F91" s="12" t="s">
        <v>27</v>
      </c>
      <c r="G91" s="12" t="s">
        <v>20</v>
      </c>
      <c r="H91" s="12" t="s">
        <v>39</v>
      </c>
      <c r="I91" s="12" t="s">
        <v>42</v>
      </c>
      <c r="J91" s="12" t="s">
        <v>23</v>
      </c>
      <c r="K91" s="12" t="s">
        <v>24</v>
      </c>
      <c r="L91" s="12" t="s">
        <v>25</v>
      </c>
      <c r="M91" s="12">
        <v>5</v>
      </c>
      <c r="N91" s="12">
        <v>45</v>
      </c>
      <c r="O91" s="12">
        <v>120</v>
      </c>
      <c r="P91" s="12">
        <v>363</v>
      </c>
      <c r="Q91" s="12">
        <v>225</v>
      </c>
      <c r="R91" s="12">
        <v>588</v>
      </c>
    </row>
    <row r="92" spans="1:18" x14ac:dyDescent="0.25">
      <c r="A92" s="13">
        <v>41540</v>
      </c>
      <c r="B92" s="12">
        <v>23</v>
      </c>
      <c r="C92" s="12" t="s">
        <v>37</v>
      </c>
      <c r="D92" s="12">
        <v>2013</v>
      </c>
      <c r="E92" s="12">
        <v>41</v>
      </c>
      <c r="F92" s="12" t="s">
        <v>27</v>
      </c>
      <c r="G92" s="12" t="s">
        <v>31</v>
      </c>
      <c r="H92" s="12" t="s">
        <v>43</v>
      </c>
      <c r="I92" s="12" t="s">
        <v>54</v>
      </c>
      <c r="J92" s="12" t="s">
        <v>23</v>
      </c>
      <c r="K92" s="12" t="s">
        <v>24</v>
      </c>
      <c r="L92" s="12" t="s">
        <v>25</v>
      </c>
      <c r="M92" s="12">
        <v>28</v>
      </c>
      <c r="N92" s="12">
        <v>45</v>
      </c>
      <c r="O92" s="12">
        <v>120</v>
      </c>
      <c r="P92" s="12">
        <v>1865</v>
      </c>
      <c r="Q92" s="12">
        <v>1260</v>
      </c>
      <c r="R92" s="12">
        <v>3125</v>
      </c>
    </row>
    <row r="93" spans="1:18" x14ac:dyDescent="0.25">
      <c r="A93" s="13">
        <v>42270</v>
      </c>
      <c r="B93" s="12">
        <v>23</v>
      </c>
      <c r="C93" s="12" t="s">
        <v>37</v>
      </c>
      <c r="D93" s="12">
        <v>2015</v>
      </c>
      <c r="E93" s="12">
        <v>41</v>
      </c>
      <c r="F93" s="12" t="s">
        <v>27</v>
      </c>
      <c r="G93" s="12" t="s">
        <v>31</v>
      </c>
      <c r="H93" s="12" t="s">
        <v>43</v>
      </c>
      <c r="I93" s="12" t="s">
        <v>54</v>
      </c>
      <c r="J93" s="12" t="s">
        <v>23</v>
      </c>
      <c r="K93" s="12" t="s">
        <v>24</v>
      </c>
      <c r="L93" s="12" t="s">
        <v>25</v>
      </c>
      <c r="M93" s="12">
        <v>29</v>
      </c>
      <c r="N93" s="12">
        <v>45</v>
      </c>
      <c r="O93" s="12">
        <v>120</v>
      </c>
      <c r="P93" s="12">
        <v>1931</v>
      </c>
      <c r="Q93" s="12">
        <v>1305</v>
      </c>
      <c r="R93" s="12">
        <v>3236</v>
      </c>
    </row>
    <row r="94" spans="1:18" x14ac:dyDescent="0.25">
      <c r="A94" s="13">
        <v>41537</v>
      </c>
      <c r="B94" s="12">
        <v>20</v>
      </c>
      <c r="C94" s="12" t="s">
        <v>37</v>
      </c>
      <c r="D94" s="12">
        <v>2013</v>
      </c>
      <c r="E94" s="12">
        <v>32</v>
      </c>
      <c r="F94" s="12" t="s">
        <v>35</v>
      </c>
      <c r="G94" s="12" t="s">
        <v>20</v>
      </c>
      <c r="H94" s="12" t="s">
        <v>39</v>
      </c>
      <c r="I94" s="12" t="s">
        <v>53</v>
      </c>
      <c r="J94" s="12" t="s">
        <v>23</v>
      </c>
      <c r="K94" s="12" t="s">
        <v>24</v>
      </c>
      <c r="L94" s="12" t="s">
        <v>25</v>
      </c>
      <c r="M94" s="12">
        <v>3</v>
      </c>
      <c r="N94" s="12">
        <v>45</v>
      </c>
      <c r="O94" s="12">
        <v>120</v>
      </c>
      <c r="P94" s="12">
        <v>146</v>
      </c>
      <c r="Q94" s="12">
        <v>135</v>
      </c>
      <c r="R94" s="12">
        <v>281</v>
      </c>
    </row>
    <row r="95" spans="1:18" x14ac:dyDescent="0.25">
      <c r="A95" s="13">
        <v>42267</v>
      </c>
      <c r="B95" s="12">
        <v>20</v>
      </c>
      <c r="C95" s="12" t="s">
        <v>37</v>
      </c>
      <c r="D95" s="12">
        <v>2015</v>
      </c>
      <c r="E95" s="12">
        <v>32</v>
      </c>
      <c r="F95" s="12" t="s">
        <v>35</v>
      </c>
      <c r="G95" s="12" t="s">
        <v>20</v>
      </c>
      <c r="H95" s="12" t="s">
        <v>39</v>
      </c>
      <c r="I95" s="12" t="s">
        <v>53</v>
      </c>
      <c r="J95" s="12" t="s">
        <v>23</v>
      </c>
      <c r="K95" s="12" t="s">
        <v>24</v>
      </c>
      <c r="L95" s="12" t="s">
        <v>25</v>
      </c>
      <c r="M95" s="12">
        <v>1</v>
      </c>
      <c r="N95" s="12">
        <v>45</v>
      </c>
      <c r="O95" s="12">
        <v>120</v>
      </c>
      <c r="P95" s="12">
        <v>49</v>
      </c>
      <c r="Q95" s="12">
        <v>45</v>
      </c>
      <c r="R95" s="12">
        <v>94</v>
      </c>
    </row>
    <row r="96" spans="1:18" x14ac:dyDescent="0.25">
      <c r="A96" s="13">
        <v>41572</v>
      </c>
      <c r="B96" s="12">
        <v>25</v>
      </c>
      <c r="C96" s="12" t="s">
        <v>55</v>
      </c>
      <c r="D96" s="12">
        <v>2013</v>
      </c>
      <c r="E96" s="12">
        <v>32</v>
      </c>
      <c r="F96" s="12" t="s">
        <v>35</v>
      </c>
      <c r="G96" s="12" t="s">
        <v>20</v>
      </c>
      <c r="H96" s="12" t="s">
        <v>39</v>
      </c>
      <c r="I96" s="12" t="s">
        <v>42</v>
      </c>
      <c r="J96" s="12" t="s">
        <v>23</v>
      </c>
      <c r="K96" s="12" t="s">
        <v>24</v>
      </c>
      <c r="L96" s="12" t="s">
        <v>25</v>
      </c>
      <c r="M96" s="12">
        <v>8</v>
      </c>
      <c r="N96" s="12">
        <v>45</v>
      </c>
      <c r="O96" s="12">
        <v>120</v>
      </c>
      <c r="P96" s="12">
        <v>581</v>
      </c>
      <c r="Q96" s="12">
        <v>360</v>
      </c>
      <c r="R96" s="12">
        <v>941</v>
      </c>
    </row>
    <row r="97" spans="1:18" x14ac:dyDescent="0.25">
      <c r="A97" s="13">
        <v>42561</v>
      </c>
      <c r="B97" s="12">
        <v>10</v>
      </c>
      <c r="C97" s="12" t="s">
        <v>34</v>
      </c>
      <c r="D97" s="12">
        <v>2016</v>
      </c>
      <c r="E97" s="12">
        <v>38</v>
      </c>
      <c r="F97" s="12" t="s">
        <v>27</v>
      </c>
      <c r="G97" s="12" t="s">
        <v>31</v>
      </c>
      <c r="H97" s="12" t="s">
        <v>39</v>
      </c>
      <c r="I97" s="12" t="s">
        <v>42</v>
      </c>
      <c r="J97" s="12" t="s">
        <v>23</v>
      </c>
      <c r="K97" s="12" t="s">
        <v>24</v>
      </c>
      <c r="L97" s="12" t="s">
        <v>25</v>
      </c>
      <c r="M97" s="12">
        <v>12</v>
      </c>
      <c r="N97" s="12">
        <v>45</v>
      </c>
      <c r="O97" s="12">
        <v>120</v>
      </c>
      <c r="P97" s="12">
        <v>871</v>
      </c>
      <c r="Q97" s="12">
        <v>540</v>
      </c>
      <c r="R97" s="12">
        <v>1411</v>
      </c>
    </row>
    <row r="98" spans="1:18" x14ac:dyDescent="0.25">
      <c r="A98" s="13">
        <v>41710</v>
      </c>
      <c r="B98" s="12">
        <v>12</v>
      </c>
      <c r="C98" s="12" t="s">
        <v>26</v>
      </c>
      <c r="D98" s="12">
        <v>2014</v>
      </c>
      <c r="E98" s="12">
        <v>54</v>
      </c>
      <c r="F98" s="12" t="s">
        <v>27</v>
      </c>
      <c r="G98" s="12" t="s">
        <v>31</v>
      </c>
      <c r="H98" s="12" t="s">
        <v>28</v>
      </c>
      <c r="I98" s="12" t="s">
        <v>48</v>
      </c>
      <c r="J98" s="12" t="s">
        <v>23</v>
      </c>
      <c r="K98" s="12" t="s">
        <v>24</v>
      </c>
      <c r="L98" s="12" t="s">
        <v>25</v>
      </c>
      <c r="M98" s="12">
        <v>7</v>
      </c>
      <c r="N98" s="12">
        <v>45</v>
      </c>
      <c r="O98" s="12">
        <v>120</v>
      </c>
      <c r="P98" s="12">
        <v>391</v>
      </c>
      <c r="Q98" s="12">
        <v>315</v>
      </c>
      <c r="R98" s="12">
        <v>706</v>
      </c>
    </row>
    <row r="99" spans="1:18" x14ac:dyDescent="0.25">
      <c r="A99" s="13">
        <v>42441</v>
      </c>
      <c r="B99" s="12">
        <v>12</v>
      </c>
      <c r="C99" s="12" t="s">
        <v>26</v>
      </c>
      <c r="D99" s="12">
        <v>2016</v>
      </c>
      <c r="E99" s="12">
        <v>54</v>
      </c>
      <c r="F99" s="12" t="s">
        <v>27</v>
      </c>
      <c r="G99" s="12" t="s">
        <v>31</v>
      </c>
      <c r="H99" s="12" t="s">
        <v>28</v>
      </c>
      <c r="I99" s="12" t="s">
        <v>48</v>
      </c>
      <c r="J99" s="12" t="s">
        <v>23</v>
      </c>
      <c r="K99" s="12" t="s">
        <v>24</v>
      </c>
      <c r="L99" s="12" t="s">
        <v>25</v>
      </c>
      <c r="M99" s="12">
        <v>6</v>
      </c>
      <c r="N99" s="12">
        <v>45</v>
      </c>
      <c r="O99" s="12">
        <v>120</v>
      </c>
      <c r="P99" s="12">
        <v>335</v>
      </c>
      <c r="Q99" s="12">
        <v>270</v>
      </c>
      <c r="R99" s="12">
        <v>605</v>
      </c>
    </row>
    <row r="100" spans="1:18" x14ac:dyDescent="0.25">
      <c r="A100" s="13">
        <v>41520</v>
      </c>
      <c r="B100" s="12">
        <v>3</v>
      </c>
      <c r="C100" s="12" t="s">
        <v>37</v>
      </c>
      <c r="D100" s="12">
        <v>2013</v>
      </c>
      <c r="E100" s="12">
        <v>51</v>
      </c>
      <c r="F100" s="12" t="s">
        <v>27</v>
      </c>
      <c r="G100" s="12" t="s">
        <v>31</v>
      </c>
      <c r="H100" s="12" t="s">
        <v>39</v>
      </c>
      <c r="I100" s="12" t="s">
        <v>53</v>
      </c>
      <c r="J100" s="12" t="s">
        <v>23</v>
      </c>
      <c r="K100" s="12" t="s">
        <v>24</v>
      </c>
      <c r="L100" s="12" t="s">
        <v>25</v>
      </c>
      <c r="M100" s="12">
        <v>7</v>
      </c>
      <c r="N100" s="12">
        <v>45</v>
      </c>
      <c r="O100" s="12">
        <v>120</v>
      </c>
      <c r="P100" s="12">
        <v>340</v>
      </c>
      <c r="Q100" s="12">
        <v>315</v>
      </c>
      <c r="R100" s="12">
        <v>655</v>
      </c>
    </row>
    <row r="101" spans="1:18" x14ac:dyDescent="0.25">
      <c r="A101" s="13">
        <v>42250</v>
      </c>
      <c r="B101" s="12">
        <v>3</v>
      </c>
      <c r="C101" s="12" t="s">
        <v>37</v>
      </c>
      <c r="D101" s="12">
        <v>2015</v>
      </c>
      <c r="E101" s="12">
        <v>51</v>
      </c>
      <c r="F101" s="12" t="s">
        <v>27</v>
      </c>
      <c r="G101" s="12" t="s">
        <v>31</v>
      </c>
      <c r="H101" s="12" t="s">
        <v>39</v>
      </c>
      <c r="I101" s="12" t="s">
        <v>53</v>
      </c>
      <c r="J101" s="12" t="s">
        <v>23</v>
      </c>
      <c r="K101" s="12" t="s">
        <v>24</v>
      </c>
      <c r="L101" s="12" t="s">
        <v>25</v>
      </c>
      <c r="M101" s="12">
        <v>9</v>
      </c>
      <c r="N101" s="12">
        <v>45</v>
      </c>
      <c r="O101" s="12">
        <v>120</v>
      </c>
      <c r="P101" s="12">
        <v>437</v>
      </c>
      <c r="Q101" s="12">
        <v>405</v>
      </c>
      <c r="R101" s="12">
        <v>842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sheetPr>
  <dimension ref="A3:AB128"/>
  <sheetViews>
    <sheetView topLeftCell="A34" workbookViewId="0">
      <selection activeCell="U33" sqref="U33"/>
    </sheetView>
  </sheetViews>
  <sheetFormatPr defaultRowHeight="15" x14ac:dyDescent="0.25"/>
  <cols>
    <col min="1" max="1" width="13.140625" customWidth="1"/>
    <col min="2" max="2" width="16.28515625" bestFit="1" customWidth="1"/>
    <col min="3" max="3" width="8.85546875" customWidth="1"/>
    <col min="4" max="4" width="6.5703125" customWidth="1"/>
    <col min="5" max="5" width="4.85546875" customWidth="1"/>
    <col min="6" max="6" width="5.140625" customWidth="1"/>
    <col min="7" max="7" width="4.42578125" customWidth="1"/>
    <col min="8" max="8" width="7.140625" customWidth="1"/>
    <col min="9" max="9" width="10.85546875" bestFit="1" customWidth="1"/>
    <col min="10" max="10" width="8.140625" customWidth="1"/>
    <col min="11" max="11" width="10.42578125" bestFit="1" customWidth="1"/>
    <col min="12" max="12" width="10.140625" bestFit="1" customWidth="1"/>
    <col min="13" max="13" width="11.28515625" bestFit="1" customWidth="1"/>
  </cols>
  <sheetData>
    <row r="3" spans="1:28" x14ac:dyDescent="0.25">
      <c r="A3" s="10" t="s">
        <v>59</v>
      </c>
      <c r="B3" s="10" t="s">
        <v>58</v>
      </c>
      <c r="C3" s="10"/>
      <c r="D3" s="7"/>
      <c r="E3" s="7"/>
      <c r="F3" s="7"/>
      <c r="G3" s="7"/>
      <c r="H3" s="7"/>
      <c r="I3" s="7"/>
      <c r="J3" s="7"/>
      <c r="K3" s="7"/>
      <c r="L3" s="7"/>
      <c r="M3" s="7"/>
      <c r="N3" s="7"/>
      <c r="O3" s="7"/>
    </row>
    <row r="4" spans="1:28" x14ac:dyDescent="0.25">
      <c r="A4" s="3" t="s">
        <v>56</v>
      </c>
      <c r="B4" s="3" t="s">
        <v>38</v>
      </c>
      <c r="C4" s="3" t="s">
        <v>33</v>
      </c>
      <c r="D4" s="3" t="s">
        <v>26</v>
      </c>
      <c r="E4" s="3" t="s">
        <v>30</v>
      </c>
      <c r="F4" s="3" t="s">
        <v>52</v>
      </c>
      <c r="G4" s="3" t="s">
        <v>34</v>
      </c>
      <c r="H4" s="3" t="s">
        <v>36</v>
      </c>
      <c r="I4" s="3" t="s">
        <v>37</v>
      </c>
      <c r="J4" s="3" t="s">
        <v>55</v>
      </c>
      <c r="K4" s="3" t="s">
        <v>18</v>
      </c>
      <c r="L4" s="3" t="s">
        <v>41</v>
      </c>
      <c r="M4" s="3" t="s">
        <v>57</v>
      </c>
      <c r="N4" s="3"/>
      <c r="O4" s="7"/>
    </row>
    <row r="5" spans="1:28" x14ac:dyDescent="0.25">
      <c r="A5" s="8">
        <v>2013</v>
      </c>
      <c r="B5" s="9"/>
      <c r="C5" s="9"/>
      <c r="D5" s="9"/>
      <c r="E5" s="9"/>
      <c r="F5" s="9"/>
      <c r="G5" s="9">
        <v>109</v>
      </c>
      <c r="H5" s="9">
        <v>109</v>
      </c>
      <c r="I5" s="9">
        <v>114</v>
      </c>
      <c r="J5" s="9">
        <v>25</v>
      </c>
      <c r="K5" s="9">
        <v>86</v>
      </c>
      <c r="L5" s="9">
        <v>57</v>
      </c>
      <c r="M5" s="9">
        <v>500</v>
      </c>
      <c r="N5" s="7"/>
      <c r="O5" s="7"/>
    </row>
    <row r="6" spans="1:28" x14ac:dyDescent="0.25">
      <c r="A6" s="8">
        <v>2014</v>
      </c>
      <c r="B6" s="9">
        <v>24</v>
      </c>
      <c r="C6" s="9">
        <v>38</v>
      </c>
      <c r="D6" s="9">
        <v>136</v>
      </c>
      <c r="E6" s="9">
        <v>128</v>
      </c>
      <c r="F6" s="9">
        <v>47</v>
      </c>
      <c r="G6" s="9">
        <v>10</v>
      </c>
      <c r="H6" s="9"/>
      <c r="I6" s="9"/>
      <c r="J6" s="9"/>
      <c r="K6" s="9"/>
      <c r="L6" s="9"/>
      <c r="M6" s="9">
        <v>383</v>
      </c>
      <c r="N6" s="7"/>
      <c r="O6" s="7"/>
    </row>
    <row r="7" spans="1:28" x14ac:dyDescent="0.25">
      <c r="A7" s="8">
        <v>2015</v>
      </c>
      <c r="B7" s="9"/>
      <c r="C7" s="9"/>
      <c r="D7" s="9"/>
      <c r="E7" s="9"/>
      <c r="F7" s="9"/>
      <c r="G7" s="9">
        <v>109</v>
      </c>
      <c r="H7" s="9">
        <v>79</v>
      </c>
      <c r="I7" s="9">
        <v>114</v>
      </c>
      <c r="J7" s="9"/>
      <c r="K7" s="9">
        <v>60</v>
      </c>
      <c r="L7" s="9">
        <v>57</v>
      </c>
      <c r="M7" s="9">
        <v>419</v>
      </c>
      <c r="N7" s="7"/>
      <c r="O7" s="7"/>
    </row>
    <row r="8" spans="1:28" x14ac:dyDescent="0.25">
      <c r="A8" s="8">
        <v>2016</v>
      </c>
      <c r="B8" s="9">
        <v>24</v>
      </c>
      <c r="C8" s="9">
        <v>38</v>
      </c>
      <c r="D8" s="9">
        <v>136</v>
      </c>
      <c r="E8" s="9">
        <v>111</v>
      </c>
      <c r="F8" s="9">
        <v>47</v>
      </c>
      <c r="G8" s="9">
        <v>10</v>
      </c>
      <c r="H8" s="9"/>
      <c r="I8" s="9"/>
      <c r="J8" s="9"/>
      <c r="K8" s="9"/>
      <c r="L8" s="9"/>
      <c r="M8" s="9">
        <v>366</v>
      </c>
      <c r="N8" s="7"/>
      <c r="O8" s="7"/>
      <c r="AB8" t="e">
        <f ca="1">OFFSET([1]Sheet1!$A$2,0,0,COUNTA([1]Sheet1!$A:$A)-1,5)</f>
        <v>#VALUE!</v>
      </c>
    </row>
    <row r="9" spans="1:28" x14ac:dyDescent="0.25">
      <c r="A9" s="5" t="s">
        <v>57</v>
      </c>
      <c r="B9" s="6">
        <v>48</v>
      </c>
      <c r="C9" s="6">
        <v>76</v>
      </c>
      <c r="D9" s="6">
        <v>272</v>
      </c>
      <c r="E9" s="6">
        <v>239</v>
      </c>
      <c r="F9" s="6">
        <v>94</v>
      </c>
      <c r="G9" s="6">
        <v>238</v>
      </c>
      <c r="H9" s="6">
        <v>188</v>
      </c>
      <c r="I9" s="6">
        <v>228</v>
      </c>
      <c r="J9" s="6">
        <v>25</v>
      </c>
      <c r="K9" s="6">
        <v>146</v>
      </c>
      <c r="L9" s="6">
        <v>114</v>
      </c>
      <c r="M9" s="6">
        <v>1668</v>
      </c>
      <c r="N9" s="7"/>
      <c r="O9" s="7"/>
    </row>
    <row r="12" spans="1:28" ht="26.25" x14ac:dyDescent="0.4">
      <c r="M12" s="1" t="s">
        <v>60</v>
      </c>
      <c r="N12" s="2"/>
      <c r="O12" s="2"/>
    </row>
    <row r="33" spans="1:26" ht="26.25" x14ac:dyDescent="0.4">
      <c r="A33" s="16" t="s">
        <v>0</v>
      </c>
      <c r="B33" s="16" t="s">
        <v>1</v>
      </c>
      <c r="C33" s="16" t="s">
        <v>2</v>
      </c>
      <c r="D33" s="16" t="s">
        <v>3</v>
      </c>
      <c r="E33" s="16" t="s">
        <v>4</v>
      </c>
      <c r="F33" s="16" t="s">
        <v>5</v>
      </c>
      <c r="G33" s="16" t="s">
        <v>6</v>
      </c>
      <c r="H33" s="16" t="s">
        <v>7</v>
      </c>
      <c r="I33" s="16" t="s">
        <v>8</v>
      </c>
      <c r="J33" s="16" t="s">
        <v>9</v>
      </c>
      <c r="K33" s="16" t="s">
        <v>10</v>
      </c>
      <c r="L33" s="16" t="s">
        <v>11</v>
      </c>
      <c r="M33" s="16" t="s">
        <v>12</v>
      </c>
      <c r="N33" s="16" t="s">
        <v>13</v>
      </c>
      <c r="O33" s="16" t="s">
        <v>14</v>
      </c>
      <c r="P33" s="16" t="s">
        <v>15</v>
      </c>
      <c r="Q33" s="16" t="s">
        <v>16</v>
      </c>
      <c r="R33" s="16" t="s">
        <v>17</v>
      </c>
      <c r="S33" s="16" t="s">
        <v>65</v>
      </c>
      <c r="V33" s="14" t="s">
        <v>66</v>
      </c>
      <c r="W33" s="4"/>
      <c r="X33" s="4"/>
      <c r="Y33" s="4"/>
      <c r="Z33" s="4"/>
    </row>
    <row r="34" spans="1:26" x14ac:dyDescent="0.25">
      <c r="A34" s="13">
        <v>41604</v>
      </c>
      <c r="B34" s="12">
        <v>26</v>
      </c>
      <c r="C34" s="12" t="s">
        <v>18</v>
      </c>
      <c r="D34" s="12">
        <v>2013</v>
      </c>
      <c r="E34" s="12">
        <v>19</v>
      </c>
      <c r="F34" s="12" t="s">
        <v>19</v>
      </c>
      <c r="G34" s="12" t="s">
        <v>20</v>
      </c>
      <c r="H34" s="12" t="s">
        <v>21</v>
      </c>
      <c r="I34" s="12" t="s">
        <v>22</v>
      </c>
      <c r="J34" s="12" t="s">
        <v>23</v>
      </c>
      <c r="K34" s="12" t="s">
        <v>24</v>
      </c>
      <c r="L34" s="12" t="s">
        <v>25</v>
      </c>
      <c r="M34" s="12">
        <v>8</v>
      </c>
      <c r="N34" s="12">
        <v>45</v>
      </c>
      <c r="O34" s="12">
        <v>120</v>
      </c>
      <c r="P34" s="12">
        <v>590</v>
      </c>
      <c r="Q34" s="12">
        <v>360</v>
      </c>
      <c r="R34" s="12">
        <v>950</v>
      </c>
      <c r="S34" s="15" t="str">
        <f>IF(P34&gt;1000,"HIGH",IF(P34&gt;500,"medium","low"))</f>
        <v>medium</v>
      </c>
    </row>
    <row r="35" spans="1:26" x14ac:dyDescent="0.25">
      <c r="A35" s="13">
        <v>42334</v>
      </c>
      <c r="B35" s="12">
        <v>26</v>
      </c>
      <c r="C35" s="12" t="s">
        <v>18</v>
      </c>
      <c r="D35" s="12">
        <v>2015</v>
      </c>
      <c r="E35" s="12">
        <v>19</v>
      </c>
      <c r="F35" s="12" t="s">
        <v>19</v>
      </c>
      <c r="G35" s="12" t="s">
        <v>20</v>
      </c>
      <c r="H35" s="12" t="s">
        <v>21</v>
      </c>
      <c r="I35" s="12" t="s">
        <v>22</v>
      </c>
      <c r="J35" s="12" t="s">
        <v>23</v>
      </c>
      <c r="K35" s="12" t="s">
        <v>24</v>
      </c>
      <c r="L35" s="12" t="s">
        <v>25</v>
      </c>
      <c r="M35" s="12">
        <v>8</v>
      </c>
      <c r="N35" s="12">
        <v>45</v>
      </c>
      <c r="O35" s="12">
        <v>120</v>
      </c>
      <c r="P35" s="12">
        <v>590</v>
      </c>
      <c r="Q35" s="12">
        <v>360</v>
      </c>
      <c r="R35" s="12">
        <v>950</v>
      </c>
      <c r="S35" s="15" t="str">
        <f t="shared" ref="S35:S98" si="0">IF(P35&gt;1000,"HIGH",IF(P35&gt;500,"medium","low"))</f>
        <v>medium</v>
      </c>
    </row>
    <row r="36" spans="1:26" x14ac:dyDescent="0.25">
      <c r="A36" s="13">
        <v>41721</v>
      </c>
      <c r="B36" s="12">
        <v>23</v>
      </c>
      <c r="C36" s="12" t="s">
        <v>26</v>
      </c>
      <c r="D36" s="12">
        <v>2014</v>
      </c>
      <c r="E36" s="12">
        <v>49</v>
      </c>
      <c r="F36" s="12" t="s">
        <v>27</v>
      </c>
      <c r="G36" s="12" t="s">
        <v>20</v>
      </c>
      <c r="H36" s="12" t="s">
        <v>28</v>
      </c>
      <c r="I36" s="12" t="s">
        <v>29</v>
      </c>
      <c r="J36" s="12" t="s">
        <v>23</v>
      </c>
      <c r="K36" s="12" t="s">
        <v>24</v>
      </c>
      <c r="L36" s="12" t="s">
        <v>25</v>
      </c>
      <c r="M36" s="12">
        <v>23</v>
      </c>
      <c r="N36" s="12">
        <v>45</v>
      </c>
      <c r="O36" s="12">
        <v>120</v>
      </c>
      <c r="P36" s="12">
        <v>1366</v>
      </c>
      <c r="Q36" s="12">
        <v>1035</v>
      </c>
      <c r="R36" s="12">
        <v>2401</v>
      </c>
      <c r="S36" s="15" t="str">
        <f t="shared" si="0"/>
        <v>HIGH</v>
      </c>
    </row>
    <row r="37" spans="1:26" x14ac:dyDescent="0.25">
      <c r="A37" s="13">
        <v>42452</v>
      </c>
      <c r="B37" s="12">
        <v>23</v>
      </c>
      <c r="C37" s="12" t="s">
        <v>26</v>
      </c>
      <c r="D37" s="12">
        <v>2016</v>
      </c>
      <c r="E37" s="12">
        <v>49</v>
      </c>
      <c r="F37" s="12" t="s">
        <v>27</v>
      </c>
      <c r="G37" s="12" t="s">
        <v>20</v>
      </c>
      <c r="H37" s="12" t="s">
        <v>28</v>
      </c>
      <c r="I37" s="12" t="s">
        <v>29</v>
      </c>
      <c r="J37" s="12" t="s">
        <v>23</v>
      </c>
      <c r="K37" s="12" t="s">
        <v>24</v>
      </c>
      <c r="L37" s="12" t="s">
        <v>25</v>
      </c>
      <c r="M37" s="12">
        <v>20</v>
      </c>
      <c r="N37" s="12">
        <v>45</v>
      </c>
      <c r="O37" s="12">
        <v>120</v>
      </c>
      <c r="P37" s="12">
        <v>1188</v>
      </c>
      <c r="Q37" s="12">
        <v>900</v>
      </c>
      <c r="R37" s="12">
        <v>2088</v>
      </c>
      <c r="S37" s="15" t="str">
        <f t="shared" si="0"/>
        <v>HIGH</v>
      </c>
    </row>
    <row r="38" spans="1:26" x14ac:dyDescent="0.25">
      <c r="A38" s="13">
        <v>41774</v>
      </c>
      <c r="B38" s="12">
        <v>15</v>
      </c>
      <c r="C38" s="12" t="s">
        <v>30</v>
      </c>
      <c r="D38" s="12">
        <v>2014</v>
      </c>
      <c r="E38" s="12">
        <v>47</v>
      </c>
      <c r="F38" s="12" t="s">
        <v>27</v>
      </c>
      <c r="G38" s="12" t="s">
        <v>31</v>
      </c>
      <c r="H38" s="12" t="s">
        <v>28</v>
      </c>
      <c r="I38" s="12" t="s">
        <v>29</v>
      </c>
      <c r="J38" s="12" t="s">
        <v>23</v>
      </c>
      <c r="K38" s="12" t="s">
        <v>24</v>
      </c>
      <c r="L38" s="12" t="s">
        <v>25</v>
      </c>
      <c r="M38" s="12">
        <v>4</v>
      </c>
      <c r="N38" s="12">
        <v>45</v>
      </c>
      <c r="O38" s="12">
        <v>120</v>
      </c>
      <c r="P38" s="12">
        <v>238</v>
      </c>
      <c r="Q38" s="12">
        <v>180</v>
      </c>
      <c r="R38" s="12">
        <v>418</v>
      </c>
      <c r="S38" s="15" t="str">
        <f t="shared" si="0"/>
        <v>low</v>
      </c>
    </row>
    <row r="39" spans="1:26" x14ac:dyDescent="0.25">
      <c r="A39" s="13">
        <v>42505</v>
      </c>
      <c r="B39" s="12">
        <v>15</v>
      </c>
      <c r="C39" s="12" t="s">
        <v>30</v>
      </c>
      <c r="D39" s="12">
        <v>2016</v>
      </c>
      <c r="E39" s="12">
        <v>47</v>
      </c>
      <c r="F39" s="12" t="s">
        <v>27</v>
      </c>
      <c r="G39" s="12" t="s">
        <v>31</v>
      </c>
      <c r="H39" s="12" t="s">
        <v>28</v>
      </c>
      <c r="I39" s="12" t="s">
        <v>29</v>
      </c>
      <c r="J39" s="12" t="s">
        <v>23</v>
      </c>
      <c r="K39" s="12" t="s">
        <v>24</v>
      </c>
      <c r="L39" s="12" t="s">
        <v>25</v>
      </c>
      <c r="M39" s="12">
        <v>5</v>
      </c>
      <c r="N39" s="12">
        <v>45</v>
      </c>
      <c r="O39" s="12">
        <v>120</v>
      </c>
      <c r="P39" s="12">
        <v>297</v>
      </c>
      <c r="Q39" s="12">
        <v>225</v>
      </c>
      <c r="R39" s="12">
        <v>522</v>
      </c>
      <c r="S39" s="15" t="str">
        <f t="shared" si="0"/>
        <v>low</v>
      </c>
    </row>
    <row r="40" spans="1:26" x14ac:dyDescent="0.25">
      <c r="A40" s="13">
        <v>41781</v>
      </c>
      <c r="B40" s="12">
        <v>22</v>
      </c>
      <c r="C40" s="12" t="s">
        <v>30</v>
      </c>
      <c r="D40" s="12">
        <v>2014</v>
      </c>
      <c r="E40" s="12">
        <v>47</v>
      </c>
      <c r="F40" s="12" t="s">
        <v>27</v>
      </c>
      <c r="G40" s="12" t="s">
        <v>31</v>
      </c>
      <c r="H40" s="12" t="s">
        <v>28</v>
      </c>
      <c r="I40" s="12" t="s">
        <v>32</v>
      </c>
      <c r="J40" s="12" t="s">
        <v>23</v>
      </c>
      <c r="K40" s="12" t="s">
        <v>24</v>
      </c>
      <c r="L40" s="12" t="s">
        <v>25</v>
      </c>
      <c r="M40" s="12">
        <v>4</v>
      </c>
      <c r="N40" s="12">
        <v>45</v>
      </c>
      <c r="O40" s="12">
        <v>120</v>
      </c>
      <c r="P40" s="12">
        <v>199</v>
      </c>
      <c r="Q40" s="12">
        <v>180</v>
      </c>
      <c r="R40" s="12">
        <v>379</v>
      </c>
      <c r="S40" s="15" t="str">
        <f t="shared" si="0"/>
        <v>low</v>
      </c>
    </row>
    <row r="41" spans="1:26" x14ac:dyDescent="0.25">
      <c r="A41" s="13">
        <v>42512</v>
      </c>
      <c r="B41" s="12">
        <v>22</v>
      </c>
      <c r="C41" s="12" t="s">
        <v>30</v>
      </c>
      <c r="D41" s="12">
        <v>2016</v>
      </c>
      <c r="E41" s="12">
        <v>47</v>
      </c>
      <c r="F41" s="12" t="s">
        <v>27</v>
      </c>
      <c r="G41" s="12" t="s">
        <v>31</v>
      </c>
      <c r="H41" s="12" t="s">
        <v>28</v>
      </c>
      <c r="I41" s="12" t="s">
        <v>32</v>
      </c>
      <c r="J41" s="12" t="s">
        <v>23</v>
      </c>
      <c r="K41" s="12" t="s">
        <v>24</v>
      </c>
      <c r="L41" s="12" t="s">
        <v>25</v>
      </c>
      <c r="M41" s="12">
        <v>2</v>
      </c>
      <c r="N41" s="12">
        <v>45</v>
      </c>
      <c r="O41" s="12">
        <v>120</v>
      </c>
      <c r="P41" s="12">
        <v>100</v>
      </c>
      <c r="Q41" s="12">
        <v>90</v>
      </c>
      <c r="R41" s="12">
        <v>190</v>
      </c>
      <c r="S41" s="15" t="str">
        <f t="shared" si="0"/>
        <v>low</v>
      </c>
    </row>
    <row r="42" spans="1:26" x14ac:dyDescent="0.25">
      <c r="A42" s="13">
        <v>41692</v>
      </c>
      <c r="B42" s="12">
        <v>22</v>
      </c>
      <c r="C42" s="12" t="s">
        <v>33</v>
      </c>
      <c r="D42" s="12">
        <v>2014</v>
      </c>
      <c r="E42" s="12">
        <v>35</v>
      </c>
      <c r="F42" s="12" t="s">
        <v>27</v>
      </c>
      <c r="G42" s="12" t="s">
        <v>20</v>
      </c>
      <c r="H42" s="12" t="s">
        <v>28</v>
      </c>
      <c r="I42" s="12" t="s">
        <v>32</v>
      </c>
      <c r="J42" s="12" t="s">
        <v>23</v>
      </c>
      <c r="K42" s="12" t="s">
        <v>24</v>
      </c>
      <c r="L42" s="12" t="s">
        <v>25</v>
      </c>
      <c r="M42" s="12">
        <v>22</v>
      </c>
      <c r="N42" s="12">
        <v>45</v>
      </c>
      <c r="O42" s="12">
        <v>120</v>
      </c>
      <c r="P42" s="12">
        <v>1096</v>
      </c>
      <c r="Q42" s="12">
        <v>990</v>
      </c>
      <c r="R42" s="12">
        <v>2086</v>
      </c>
      <c r="S42" s="15" t="str">
        <f t="shared" si="0"/>
        <v>HIGH</v>
      </c>
    </row>
    <row r="43" spans="1:26" x14ac:dyDescent="0.25">
      <c r="A43" s="13">
        <v>42422</v>
      </c>
      <c r="B43" s="12">
        <v>22</v>
      </c>
      <c r="C43" s="12" t="s">
        <v>33</v>
      </c>
      <c r="D43" s="12">
        <v>2016</v>
      </c>
      <c r="E43" s="12">
        <v>35</v>
      </c>
      <c r="F43" s="12" t="s">
        <v>27</v>
      </c>
      <c r="G43" s="12" t="s">
        <v>20</v>
      </c>
      <c r="H43" s="12" t="s">
        <v>28</v>
      </c>
      <c r="I43" s="12" t="s">
        <v>32</v>
      </c>
      <c r="J43" s="12" t="s">
        <v>23</v>
      </c>
      <c r="K43" s="12" t="s">
        <v>24</v>
      </c>
      <c r="L43" s="12" t="s">
        <v>25</v>
      </c>
      <c r="M43" s="12">
        <v>21</v>
      </c>
      <c r="N43" s="12">
        <v>45</v>
      </c>
      <c r="O43" s="12">
        <v>120</v>
      </c>
      <c r="P43" s="12">
        <v>1046</v>
      </c>
      <c r="Q43" s="12">
        <v>945</v>
      </c>
      <c r="R43" s="12">
        <v>1991</v>
      </c>
      <c r="S43" s="15" t="str">
        <f t="shared" si="0"/>
        <v>HIGH</v>
      </c>
    </row>
    <row r="44" spans="1:26" x14ac:dyDescent="0.25">
      <c r="A44" s="13">
        <v>41485</v>
      </c>
      <c r="B44" s="12">
        <v>30</v>
      </c>
      <c r="C44" s="12" t="s">
        <v>34</v>
      </c>
      <c r="D44" s="12">
        <v>2013</v>
      </c>
      <c r="E44" s="12">
        <v>32</v>
      </c>
      <c r="F44" s="12" t="s">
        <v>35</v>
      </c>
      <c r="G44" s="12" t="s">
        <v>31</v>
      </c>
      <c r="H44" s="12" t="s">
        <v>28</v>
      </c>
      <c r="I44" s="12" t="s">
        <v>32</v>
      </c>
      <c r="J44" s="12" t="s">
        <v>23</v>
      </c>
      <c r="K44" s="12" t="s">
        <v>24</v>
      </c>
      <c r="L44" s="12" t="s">
        <v>25</v>
      </c>
      <c r="M44" s="12">
        <v>8</v>
      </c>
      <c r="N44" s="12">
        <v>45</v>
      </c>
      <c r="O44" s="12">
        <v>120</v>
      </c>
      <c r="P44" s="12">
        <v>398</v>
      </c>
      <c r="Q44" s="12">
        <v>360</v>
      </c>
      <c r="R44" s="12">
        <v>758</v>
      </c>
      <c r="S44" s="15" t="str">
        <f t="shared" si="0"/>
        <v>low</v>
      </c>
    </row>
    <row r="45" spans="1:26" x14ac:dyDescent="0.25">
      <c r="A45" s="13">
        <v>42215</v>
      </c>
      <c r="B45" s="12">
        <v>30</v>
      </c>
      <c r="C45" s="12" t="s">
        <v>34</v>
      </c>
      <c r="D45" s="12">
        <v>2015</v>
      </c>
      <c r="E45" s="12">
        <v>32</v>
      </c>
      <c r="F45" s="12" t="s">
        <v>35</v>
      </c>
      <c r="G45" s="12" t="s">
        <v>31</v>
      </c>
      <c r="H45" s="12" t="s">
        <v>28</v>
      </c>
      <c r="I45" s="12" t="s">
        <v>32</v>
      </c>
      <c r="J45" s="12" t="s">
        <v>23</v>
      </c>
      <c r="K45" s="12" t="s">
        <v>24</v>
      </c>
      <c r="L45" s="12" t="s">
        <v>25</v>
      </c>
      <c r="M45" s="12">
        <v>8</v>
      </c>
      <c r="N45" s="12">
        <v>45</v>
      </c>
      <c r="O45" s="12">
        <v>120</v>
      </c>
      <c r="P45" s="12">
        <v>398</v>
      </c>
      <c r="Q45" s="12">
        <v>360</v>
      </c>
      <c r="R45" s="12">
        <v>758</v>
      </c>
      <c r="S45" s="15" t="str">
        <f t="shared" si="0"/>
        <v>low</v>
      </c>
    </row>
    <row r="46" spans="1:26" x14ac:dyDescent="0.25">
      <c r="A46" s="13">
        <v>41470</v>
      </c>
      <c r="B46" s="12">
        <v>15</v>
      </c>
      <c r="C46" s="12" t="s">
        <v>34</v>
      </c>
      <c r="D46" s="12">
        <v>2013</v>
      </c>
      <c r="E46" s="12">
        <v>34</v>
      </c>
      <c r="F46" s="12" t="s">
        <v>35</v>
      </c>
      <c r="G46" s="12" t="s">
        <v>20</v>
      </c>
      <c r="H46" s="12" t="s">
        <v>28</v>
      </c>
      <c r="I46" s="12" t="s">
        <v>32</v>
      </c>
      <c r="J46" s="12" t="s">
        <v>23</v>
      </c>
      <c r="K46" s="12" t="s">
        <v>24</v>
      </c>
      <c r="L46" s="12" t="s">
        <v>25</v>
      </c>
      <c r="M46" s="12">
        <v>7</v>
      </c>
      <c r="N46" s="12">
        <v>45</v>
      </c>
      <c r="O46" s="12">
        <v>120</v>
      </c>
      <c r="P46" s="12">
        <v>349</v>
      </c>
      <c r="Q46" s="12">
        <v>315</v>
      </c>
      <c r="R46" s="12">
        <v>664</v>
      </c>
      <c r="S46" s="15" t="str">
        <f t="shared" si="0"/>
        <v>low</v>
      </c>
    </row>
    <row r="47" spans="1:26" x14ac:dyDescent="0.25">
      <c r="A47" s="13">
        <v>42200</v>
      </c>
      <c r="B47" s="12">
        <v>15</v>
      </c>
      <c r="C47" s="12" t="s">
        <v>34</v>
      </c>
      <c r="D47" s="12">
        <v>2015</v>
      </c>
      <c r="E47" s="12">
        <v>34</v>
      </c>
      <c r="F47" s="12" t="s">
        <v>35</v>
      </c>
      <c r="G47" s="12" t="s">
        <v>20</v>
      </c>
      <c r="H47" s="12" t="s">
        <v>28</v>
      </c>
      <c r="I47" s="12" t="s">
        <v>32</v>
      </c>
      <c r="J47" s="12" t="s">
        <v>23</v>
      </c>
      <c r="K47" s="12" t="s">
        <v>24</v>
      </c>
      <c r="L47" s="12" t="s">
        <v>25</v>
      </c>
      <c r="M47" s="12">
        <v>7</v>
      </c>
      <c r="N47" s="12">
        <v>45</v>
      </c>
      <c r="O47" s="12">
        <v>120</v>
      </c>
      <c r="P47" s="12">
        <v>349</v>
      </c>
      <c r="Q47" s="12">
        <v>315</v>
      </c>
      <c r="R47" s="12">
        <v>664</v>
      </c>
      <c r="S47" s="15" t="str">
        <f t="shared" si="0"/>
        <v>low</v>
      </c>
    </row>
    <row r="48" spans="1:26" x14ac:dyDescent="0.25">
      <c r="A48" s="13">
        <v>41488</v>
      </c>
      <c r="B48" s="12">
        <v>2</v>
      </c>
      <c r="C48" s="12" t="s">
        <v>36</v>
      </c>
      <c r="D48" s="12">
        <v>2013</v>
      </c>
      <c r="E48" s="12">
        <v>29</v>
      </c>
      <c r="F48" s="12" t="s">
        <v>35</v>
      </c>
      <c r="G48" s="12" t="s">
        <v>20</v>
      </c>
      <c r="H48" s="12" t="s">
        <v>21</v>
      </c>
      <c r="I48" s="12" t="s">
        <v>22</v>
      </c>
      <c r="J48" s="12" t="s">
        <v>23</v>
      </c>
      <c r="K48" s="12" t="s">
        <v>24</v>
      </c>
      <c r="L48" s="12" t="s">
        <v>25</v>
      </c>
      <c r="M48" s="12">
        <v>5</v>
      </c>
      <c r="N48" s="12">
        <v>45</v>
      </c>
      <c r="O48" s="12">
        <v>120</v>
      </c>
      <c r="P48" s="12">
        <v>369</v>
      </c>
      <c r="Q48" s="12">
        <v>225</v>
      </c>
      <c r="R48" s="12">
        <v>594</v>
      </c>
      <c r="S48" s="15" t="str">
        <f t="shared" si="0"/>
        <v>low</v>
      </c>
    </row>
    <row r="49" spans="1:19" x14ac:dyDescent="0.25">
      <c r="A49" s="13">
        <v>42218</v>
      </c>
      <c r="B49" s="12">
        <v>2</v>
      </c>
      <c r="C49" s="12" t="s">
        <v>36</v>
      </c>
      <c r="D49" s="12">
        <v>2015</v>
      </c>
      <c r="E49" s="12">
        <v>29</v>
      </c>
      <c r="F49" s="12" t="s">
        <v>35</v>
      </c>
      <c r="G49" s="12" t="s">
        <v>20</v>
      </c>
      <c r="H49" s="12" t="s">
        <v>21</v>
      </c>
      <c r="I49" s="12" t="s">
        <v>22</v>
      </c>
      <c r="J49" s="12" t="s">
        <v>23</v>
      </c>
      <c r="K49" s="12" t="s">
        <v>24</v>
      </c>
      <c r="L49" s="12" t="s">
        <v>25</v>
      </c>
      <c r="M49" s="12">
        <v>7</v>
      </c>
      <c r="N49" s="12">
        <v>45</v>
      </c>
      <c r="O49" s="12">
        <v>120</v>
      </c>
      <c r="P49" s="12">
        <v>517</v>
      </c>
      <c r="Q49" s="12">
        <v>315</v>
      </c>
      <c r="R49" s="12">
        <v>832</v>
      </c>
      <c r="S49" s="15" t="str">
        <f t="shared" si="0"/>
        <v>medium</v>
      </c>
    </row>
    <row r="50" spans="1:19" x14ac:dyDescent="0.25">
      <c r="A50" s="13">
        <v>41519</v>
      </c>
      <c r="B50" s="12">
        <v>2</v>
      </c>
      <c r="C50" s="12" t="s">
        <v>37</v>
      </c>
      <c r="D50" s="12">
        <v>2013</v>
      </c>
      <c r="E50" s="12">
        <v>29</v>
      </c>
      <c r="F50" s="12" t="s">
        <v>35</v>
      </c>
      <c r="G50" s="12" t="s">
        <v>20</v>
      </c>
      <c r="H50" s="12" t="s">
        <v>21</v>
      </c>
      <c r="I50" s="12" t="s">
        <v>22</v>
      </c>
      <c r="J50" s="12" t="s">
        <v>23</v>
      </c>
      <c r="K50" s="12" t="s">
        <v>24</v>
      </c>
      <c r="L50" s="12" t="s">
        <v>25</v>
      </c>
      <c r="M50" s="12">
        <v>2</v>
      </c>
      <c r="N50" s="12">
        <v>45</v>
      </c>
      <c r="O50" s="12">
        <v>120</v>
      </c>
      <c r="P50" s="12">
        <v>148</v>
      </c>
      <c r="Q50" s="12">
        <v>90</v>
      </c>
      <c r="R50" s="12">
        <v>238</v>
      </c>
      <c r="S50" s="15" t="str">
        <f t="shared" si="0"/>
        <v>low</v>
      </c>
    </row>
    <row r="51" spans="1:19" x14ac:dyDescent="0.25">
      <c r="A51" s="13">
        <v>42249</v>
      </c>
      <c r="B51" s="12">
        <v>2</v>
      </c>
      <c r="C51" s="12" t="s">
        <v>37</v>
      </c>
      <c r="D51" s="12">
        <v>2015</v>
      </c>
      <c r="E51" s="12">
        <v>29</v>
      </c>
      <c r="F51" s="12" t="s">
        <v>35</v>
      </c>
      <c r="G51" s="12" t="s">
        <v>20</v>
      </c>
      <c r="H51" s="12" t="s">
        <v>21</v>
      </c>
      <c r="I51" s="12" t="s">
        <v>22</v>
      </c>
      <c r="J51" s="12" t="s">
        <v>23</v>
      </c>
      <c r="K51" s="12" t="s">
        <v>24</v>
      </c>
      <c r="L51" s="12" t="s">
        <v>25</v>
      </c>
      <c r="M51" s="12">
        <v>1</v>
      </c>
      <c r="N51" s="12">
        <v>45</v>
      </c>
      <c r="O51" s="12">
        <v>120</v>
      </c>
      <c r="P51" s="12">
        <v>74</v>
      </c>
      <c r="Q51" s="12">
        <v>45</v>
      </c>
      <c r="R51" s="12">
        <v>119</v>
      </c>
      <c r="S51" s="15" t="str">
        <f t="shared" si="0"/>
        <v>low</v>
      </c>
    </row>
    <row r="52" spans="1:19" x14ac:dyDescent="0.25">
      <c r="A52" s="13">
        <v>41661</v>
      </c>
      <c r="B52" s="12">
        <v>22</v>
      </c>
      <c r="C52" s="12" t="s">
        <v>38</v>
      </c>
      <c r="D52" s="12">
        <v>2014</v>
      </c>
      <c r="E52" s="12">
        <v>29</v>
      </c>
      <c r="F52" s="12" t="s">
        <v>35</v>
      </c>
      <c r="G52" s="12" t="s">
        <v>20</v>
      </c>
      <c r="H52" s="12" t="s">
        <v>21</v>
      </c>
      <c r="I52" s="12" t="s">
        <v>22</v>
      </c>
      <c r="J52" s="12" t="s">
        <v>23</v>
      </c>
      <c r="K52" s="12" t="s">
        <v>24</v>
      </c>
      <c r="L52" s="12" t="s">
        <v>25</v>
      </c>
      <c r="M52" s="12">
        <v>1</v>
      </c>
      <c r="N52" s="12">
        <v>45</v>
      </c>
      <c r="O52" s="12">
        <v>120</v>
      </c>
      <c r="P52" s="12">
        <v>74</v>
      </c>
      <c r="Q52" s="12">
        <v>45</v>
      </c>
      <c r="R52" s="12">
        <v>119</v>
      </c>
      <c r="S52" s="15" t="str">
        <f t="shared" si="0"/>
        <v>low</v>
      </c>
    </row>
    <row r="53" spans="1:19" x14ac:dyDescent="0.25">
      <c r="A53" s="13">
        <v>42391</v>
      </c>
      <c r="B53" s="12">
        <v>22</v>
      </c>
      <c r="C53" s="12" t="s">
        <v>38</v>
      </c>
      <c r="D53" s="12">
        <v>2016</v>
      </c>
      <c r="E53" s="12">
        <v>29</v>
      </c>
      <c r="F53" s="12" t="s">
        <v>35</v>
      </c>
      <c r="G53" s="12" t="s">
        <v>20</v>
      </c>
      <c r="H53" s="12" t="s">
        <v>21</v>
      </c>
      <c r="I53" s="12" t="s">
        <v>22</v>
      </c>
      <c r="J53" s="12" t="s">
        <v>23</v>
      </c>
      <c r="K53" s="12" t="s">
        <v>24</v>
      </c>
      <c r="L53" s="12" t="s">
        <v>25</v>
      </c>
      <c r="M53" s="12">
        <v>1</v>
      </c>
      <c r="N53" s="12">
        <v>45</v>
      </c>
      <c r="O53" s="12">
        <v>120</v>
      </c>
      <c r="P53" s="12">
        <v>74</v>
      </c>
      <c r="Q53" s="12">
        <v>45</v>
      </c>
      <c r="R53" s="12">
        <v>119</v>
      </c>
      <c r="S53" s="15" t="str">
        <f t="shared" si="0"/>
        <v>low</v>
      </c>
    </row>
    <row r="54" spans="1:19" x14ac:dyDescent="0.25">
      <c r="A54" s="13">
        <v>41776</v>
      </c>
      <c r="B54" s="12">
        <v>17</v>
      </c>
      <c r="C54" s="12" t="s">
        <v>30</v>
      </c>
      <c r="D54" s="12">
        <v>2014</v>
      </c>
      <c r="E54" s="12">
        <v>45</v>
      </c>
      <c r="F54" s="12" t="s">
        <v>35</v>
      </c>
      <c r="G54" s="12" t="s">
        <v>20</v>
      </c>
      <c r="H54" s="12" t="s">
        <v>21</v>
      </c>
      <c r="I54" s="12" t="s">
        <v>22</v>
      </c>
      <c r="J54" s="12" t="s">
        <v>23</v>
      </c>
      <c r="K54" s="12" t="s">
        <v>24</v>
      </c>
      <c r="L54" s="12" t="s">
        <v>25</v>
      </c>
      <c r="M54" s="12">
        <v>6</v>
      </c>
      <c r="N54" s="12">
        <v>45</v>
      </c>
      <c r="O54" s="12">
        <v>120</v>
      </c>
      <c r="P54" s="12">
        <v>443</v>
      </c>
      <c r="Q54" s="12">
        <v>270</v>
      </c>
      <c r="R54" s="12">
        <v>713</v>
      </c>
      <c r="S54" s="15" t="str">
        <f t="shared" si="0"/>
        <v>low</v>
      </c>
    </row>
    <row r="55" spans="1:19" x14ac:dyDescent="0.25">
      <c r="A55" s="13">
        <v>42507</v>
      </c>
      <c r="B55" s="12">
        <v>17</v>
      </c>
      <c r="C55" s="12" t="s">
        <v>30</v>
      </c>
      <c r="D55" s="12">
        <v>2016</v>
      </c>
      <c r="E55" s="12">
        <v>29</v>
      </c>
      <c r="F55" s="12" t="s">
        <v>35</v>
      </c>
      <c r="G55" s="12" t="s">
        <v>20</v>
      </c>
      <c r="H55" s="12" t="s">
        <v>21</v>
      </c>
      <c r="I55" s="12" t="s">
        <v>22</v>
      </c>
      <c r="J55" s="12" t="s">
        <v>23</v>
      </c>
      <c r="K55" s="12" t="s">
        <v>24</v>
      </c>
      <c r="L55" s="12" t="s">
        <v>25</v>
      </c>
      <c r="M55" s="12">
        <v>8</v>
      </c>
      <c r="N55" s="12">
        <v>45</v>
      </c>
      <c r="O55" s="12">
        <v>120</v>
      </c>
      <c r="P55" s="12">
        <v>590</v>
      </c>
      <c r="Q55" s="12">
        <v>360</v>
      </c>
      <c r="R55" s="12">
        <v>950</v>
      </c>
      <c r="S55" s="15" t="str">
        <f t="shared" si="0"/>
        <v>medium</v>
      </c>
    </row>
    <row r="56" spans="1:19" x14ac:dyDescent="0.25">
      <c r="A56" s="13">
        <v>41725</v>
      </c>
      <c r="B56" s="12">
        <v>27</v>
      </c>
      <c r="C56" s="12" t="s">
        <v>26</v>
      </c>
      <c r="D56" s="12">
        <v>2014</v>
      </c>
      <c r="E56" s="12">
        <v>51</v>
      </c>
      <c r="F56" s="12" t="s">
        <v>27</v>
      </c>
      <c r="G56" s="12" t="s">
        <v>20</v>
      </c>
      <c r="H56" s="12" t="s">
        <v>39</v>
      </c>
      <c r="I56" s="12" t="s">
        <v>40</v>
      </c>
      <c r="J56" s="12" t="s">
        <v>23</v>
      </c>
      <c r="K56" s="12" t="s">
        <v>24</v>
      </c>
      <c r="L56" s="12" t="s">
        <v>25</v>
      </c>
      <c r="M56" s="12">
        <v>9</v>
      </c>
      <c r="N56" s="12">
        <v>45</v>
      </c>
      <c r="O56" s="12">
        <v>120</v>
      </c>
      <c r="P56" s="12">
        <v>524</v>
      </c>
      <c r="Q56" s="12">
        <v>405</v>
      </c>
      <c r="R56" s="12">
        <v>929</v>
      </c>
      <c r="S56" s="15" t="str">
        <f t="shared" si="0"/>
        <v>medium</v>
      </c>
    </row>
    <row r="57" spans="1:19" x14ac:dyDescent="0.25">
      <c r="A57" s="13">
        <v>42456</v>
      </c>
      <c r="B57" s="12">
        <v>27</v>
      </c>
      <c r="C57" s="12" t="s">
        <v>26</v>
      </c>
      <c r="D57" s="12">
        <v>2016</v>
      </c>
      <c r="E57" s="12">
        <v>51</v>
      </c>
      <c r="F57" s="12" t="s">
        <v>27</v>
      </c>
      <c r="G57" s="12" t="s">
        <v>20</v>
      </c>
      <c r="H57" s="12" t="s">
        <v>39</v>
      </c>
      <c r="I57" s="12" t="s">
        <v>40</v>
      </c>
      <c r="J57" s="12" t="s">
        <v>23</v>
      </c>
      <c r="K57" s="12" t="s">
        <v>24</v>
      </c>
      <c r="L57" s="12" t="s">
        <v>25</v>
      </c>
      <c r="M57" s="12">
        <v>7</v>
      </c>
      <c r="N57" s="12">
        <v>45</v>
      </c>
      <c r="O57" s="12">
        <v>120</v>
      </c>
      <c r="P57" s="12">
        <v>407</v>
      </c>
      <c r="Q57" s="12">
        <v>315</v>
      </c>
      <c r="R57" s="12">
        <v>722</v>
      </c>
      <c r="S57" s="15" t="str">
        <f t="shared" si="0"/>
        <v>low</v>
      </c>
    </row>
    <row r="58" spans="1:19" x14ac:dyDescent="0.25">
      <c r="A58" s="13">
        <v>41511</v>
      </c>
      <c r="B58" s="12">
        <v>25</v>
      </c>
      <c r="C58" s="12" t="s">
        <v>36</v>
      </c>
      <c r="D58" s="12">
        <v>2013</v>
      </c>
      <c r="E58" s="12">
        <v>49</v>
      </c>
      <c r="F58" s="12" t="s">
        <v>27</v>
      </c>
      <c r="G58" s="12" t="s">
        <v>20</v>
      </c>
      <c r="H58" s="12" t="s">
        <v>21</v>
      </c>
      <c r="I58" s="12" t="s">
        <v>22</v>
      </c>
      <c r="J58" s="12" t="s">
        <v>23</v>
      </c>
      <c r="K58" s="12" t="s">
        <v>24</v>
      </c>
      <c r="L58" s="12" t="s">
        <v>25</v>
      </c>
      <c r="M58" s="12">
        <v>3</v>
      </c>
      <c r="N58" s="12">
        <v>45</v>
      </c>
      <c r="O58" s="12">
        <v>120</v>
      </c>
      <c r="P58" s="12">
        <v>221</v>
      </c>
      <c r="Q58" s="12">
        <v>135</v>
      </c>
      <c r="R58" s="12">
        <v>356</v>
      </c>
      <c r="S58" s="15" t="str">
        <f t="shared" si="0"/>
        <v>low</v>
      </c>
    </row>
    <row r="59" spans="1:19" x14ac:dyDescent="0.25">
      <c r="A59" s="13">
        <v>42241</v>
      </c>
      <c r="B59" s="12">
        <v>25</v>
      </c>
      <c r="C59" s="12" t="s">
        <v>36</v>
      </c>
      <c r="D59" s="12">
        <v>2015</v>
      </c>
      <c r="E59" s="12">
        <v>49</v>
      </c>
      <c r="F59" s="12" t="s">
        <v>27</v>
      </c>
      <c r="G59" s="12" t="s">
        <v>20</v>
      </c>
      <c r="H59" s="12" t="s">
        <v>21</v>
      </c>
      <c r="I59" s="12" t="s">
        <v>22</v>
      </c>
      <c r="J59" s="12" t="s">
        <v>23</v>
      </c>
      <c r="K59" s="12" t="s">
        <v>24</v>
      </c>
      <c r="L59" s="12" t="s">
        <v>25</v>
      </c>
      <c r="M59" s="12">
        <v>1</v>
      </c>
      <c r="N59" s="12">
        <v>45</v>
      </c>
      <c r="O59" s="12">
        <v>120</v>
      </c>
      <c r="P59" s="12">
        <v>74</v>
      </c>
      <c r="Q59" s="12">
        <v>45</v>
      </c>
      <c r="R59" s="12">
        <v>119</v>
      </c>
      <c r="S59" s="15" t="str">
        <f t="shared" si="0"/>
        <v>low</v>
      </c>
    </row>
    <row r="60" spans="1:19" x14ac:dyDescent="0.25">
      <c r="A60" s="13">
        <v>41634</v>
      </c>
      <c r="B60" s="12">
        <v>26</v>
      </c>
      <c r="C60" s="12" t="s">
        <v>41</v>
      </c>
      <c r="D60" s="12">
        <v>2013</v>
      </c>
      <c r="E60" s="12">
        <v>56</v>
      </c>
      <c r="F60" s="12" t="s">
        <v>27</v>
      </c>
      <c r="G60" s="12" t="s">
        <v>20</v>
      </c>
      <c r="H60" s="12" t="s">
        <v>21</v>
      </c>
      <c r="I60" s="12" t="s">
        <v>22</v>
      </c>
      <c r="J60" s="12" t="s">
        <v>23</v>
      </c>
      <c r="K60" s="12" t="s">
        <v>24</v>
      </c>
      <c r="L60" s="12" t="s">
        <v>25</v>
      </c>
      <c r="M60" s="12">
        <v>6</v>
      </c>
      <c r="N60" s="12">
        <v>45</v>
      </c>
      <c r="O60" s="12">
        <v>120</v>
      </c>
      <c r="P60" s="12">
        <v>443</v>
      </c>
      <c r="Q60" s="12">
        <v>270</v>
      </c>
      <c r="R60" s="12">
        <v>713</v>
      </c>
      <c r="S60" s="15" t="str">
        <f t="shared" si="0"/>
        <v>low</v>
      </c>
    </row>
    <row r="61" spans="1:19" x14ac:dyDescent="0.25">
      <c r="A61" s="13">
        <v>42364</v>
      </c>
      <c r="B61" s="12">
        <v>26</v>
      </c>
      <c r="C61" s="12" t="s">
        <v>41</v>
      </c>
      <c r="D61" s="12">
        <v>2015</v>
      </c>
      <c r="E61" s="12">
        <v>49</v>
      </c>
      <c r="F61" s="12" t="s">
        <v>27</v>
      </c>
      <c r="G61" s="12" t="s">
        <v>20</v>
      </c>
      <c r="H61" s="12" t="s">
        <v>21</v>
      </c>
      <c r="I61" s="12" t="s">
        <v>22</v>
      </c>
      <c r="J61" s="12" t="s">
        <v>23</v>
      </c>
      <c r="K61" s="12" t="s">
        <v>24</v>
      </c>
      <c r="L61" s="12" t="s">
        <v>25</v>
      </c>
      <c r="M61" s="12">
        <v>5</v>
      </c>
      <c r="N61" s="12">
        <v>45</v>
      </c>
      <c r="O61" s="12">
        <v>120</v>
      </c>
      <c r="P61" s="12">
        <v>369</v>
      </c>
      <c r="Q61" s="12">
        <v>225</v>
      </c>
      <c r="R61" s="12">
        <v>594</v>
      </c>
      <c r="S61" s="15" t="str">
        <f t="shared" si="0"/>
        <v>low</v>
      </c>
    </row>
    <row r="62" spans="1:19" x14ac:dyDescent="0.25">
      <c r="A62" s="13">
        <v>41641</v>
      </c>
      <c r="B62" s="12">
        <v>2</v>
      </c>
      <c r="C62" s="12" t="s">
        <v>38</v>
      </c>
      <c r="D62" s="12">
        <v>2014</v>
      </c>
      <c r="E62" s="12">
        <v>48</v>
      </c>
      <c r="F62" s="12" t="s">
        <v>27</v>
      </c>
      <c r="G62" s="12" t="s">
        <v>31</v>
      </c>
      <c r="H62" s="12" t="s">
        <v>21</v>
      </c>
      <c r="I62" s="12" t="s">
        <v>22</v>
      </c>
      <c r="J62" s="12" t="s">
        <v>23</v>
      </c>
      <c r="K62" s="12" t="s">
        <v>24</v>
      </c>
      <c r="L62" s="12" t="s">
        <v>25</v>
      </c>
      <c r="M62" s="12">
        <v>4</v>
      </c>
      <c r="N62" s="12">
        <v>45</v>
      </c>
      <c r="O62" s="12">
        <v>120</v>
      </c>
      <c r="P62" s="12">
        <v>295</v>
      </c>
      <c r="Q62" s="12">
        <v>180</v>
      </c>
      <c r="R62" s="12">
        <v>475</v>
      </c>
      <c r="S62" s="15" t="str">
        <f t="shared" si="0"/>
        <v>low</v>
      </c>
    </row>
    <row r="63" spans="1:19" x14ac:dyDescent="0.25">
      <c r="A63" s="13">
        <v>42371</v>
      </c>
      <c r="B63" s="12">
        <v>2</v>
      </c>
      <c r="C63" s="12" t="s">
        <v>38</v>
      </c>
      <c r="D63" s="12">
        <v>2016</v>
      </c>
      <c r="E63" s="12">
        <v>48</v>
      </c>
      <c r="F63" s="12" t="s">
        <v>27</v>
      </c>
      <c r="G63" s="12" t="s">
        <v>31</v>
      </c>
      <c r="H63" s="12" t="s">
        <v>21</v>
      </c>
      <c r="I63" s="12" t="s">
        <v>22</v>
      </c>
      <c r="J63" s="12" t="s">
        <v>23</v>
      </c>
      <c r="K63" s="12" t="s">
        <v>24</v>
      </c>
      <c r="L63" s="12" t="s">
        <v>25</v>
      </c>
      <c r="M63" s="12">
        <v>4</v>
      </c>
      <c r="N63" s="12">
        <v>45</v>
      </c>
      <c r="O63" s="12">
        <v>120</v>
      </c>
      <c r="P63" s="12">
        <v>295</v>
      </c>
      <c r="Q63" s="12">
        <v>180</v>
      </c>
      <c r="R63" s="12">
        <v>475</v>
      </c>
      <c r="S63" s="15" t="str">
        <f t="shared" si="0"/>
        <v>low</v>
      </c>
    </row>
    <row r="64" spans="1:19" x14ac:dyDescent="0.25">
      <c r="A64" s="13">
        <v>41711</v>
      </c>
      <c r="B64" s="12">
        <v>13</v>
      </c>
      <c r="C64" s="12" t="s">
        <v>26</v>
      </c>
      <c r="D64" s="12">
        <v>2014</v>
      </c>
      <c r="E64" s="12">
        <v>48</v>
      </c>
      <c r="F64" s="12" t="s">
        <v>27</v>
      </c>
      <c r="G64" s="12" t="s">
        <v>31</v>
      </c>
      <c r="H64" s="12" t="s">
        <v>21</v>
      </c>
      <c r="I64" s="12" t="s">
        <v>22</v>
      </c>
      <c r="J64" s="12" t="s">
        <v>23</v>
      </c>
      <c r="K64" s="12" t="s">
        <v>24</v>
      </c>
      <c r="L64" s="12" t="s">
        <v>25</v>
      </c>
      <c r="M64" s="12">
        <v>20</v>
      </c>
      <c r="N64" s="12">
        <v>45</v>
      </c>
      <c r="O64" s="12">
        <v>120</v>
      </c>
      <c r="P64" s="12">
        <v>1476</v>
      </c>
      <c r="Q64" s="12">
        <v>900</v>
      </c>
      <c r="R64" s="12">
        <v>2376</v>
      </c>
      <c r="S64" s="15" t="str">
        <f t="shared" si="0"/>
        <v>HIGH</v>
      </c>
    </row>
    <row r="65" spans="1:19" x14ac:dyDescent="0.25">
      <c r="A65" s="13">
        <v>42442</v>
      </c>
      <c r="B65" s="12">
        <v>13</v>
      </c>
      <c r="C65" s="12" t="s">
        <v>26</v>
      </c>
      <c r="D65" s="12">
        <v>2016</v>
      </c>
      <c r="E65" s="12">
        <v>48</v>
      </c>
      <c r="F65" s="12" t="s">
        <v>27</v>
      </c>
      <c r="G65" s="12" t="s">
        <v>31</v>
      </c>
      <c r="H65" s="12" t="s">
        <v>21</v>
      </c>
      <c r="I65" s="12" t="s">
        <v>22</v>
      </c>
      <c r="J65" s="12" t="s">
        <v>23</v>
      </c>
      <c r="K65" s="12" t="s">
        <v>24</v>
      </c>
      <c r="L65" s="12" t="s">
        <v>25</v>
      </c>
      <c r="M65" s="12">
        <v>22</v>
      </c>
      <c r="N65" s="12">
        <v>45</v>
      </c>
      <c r="O65" s="12">
        <v>120</v>
      </c>
      <c r="P65" s="12">
        <v>1624</v>
      </c>
      <c r="Q65" s="12">
        <v>990</v>
      </c>
      <c r="R65" s="12">
        <v>2614</v>
      </c>
      <c r="S65" s="15" t="str">
        <f t="shared" si="0"/>
        <v>HIGH</v>
      </c>
    </row>
    <row r="66" spans="1:19" x14ac:dyDescent="0.25">
      <c r="A66" s="13">
        <v>41782</v>
      </c>
      <c r="B66" s="12">
        <v>23</v>
      </c>
      <c r="C66" s="12" t="s">
        <v>30</v>
      </c>
      <c r="D66" s="12">
        <v>2014</v>
      </c>
      <c r="E66" s="12">
        <v>47</v>
      </c>
      <c r="F66" s="12" t="s">
        <v>27</v>
      </c>
      <c r="G66" s="12" t="s">
        <v>31</v>
      </c>
      <c r="H66" s="12" t="s">
        <v>21</v>
      </c>
      <c r="I66" s="12" t="s">
        <v>22</v>
      </c>
      <c r="J66" s="12" t="s">
        <v>23</v>
      </c>
      <c r="K66" s="12" t="s">
        <v>24</v>
      </c>
      <c r="L66" s="12" t="s">
        <v>25</v>
      </c>
      <c r="M66" s="12">
        <v>24</v>
      </c>
      <c r="N66" s="12">
        <v>45</v>
      </c>
      <c r="O66" s="12">
        <v>120</v>
      </c>
      <c r="P66" s="12">
        <v>1771</v>
      </c>
      <c r="Q66" s="12">
        <v>1080</v>
      </c>
      <c r="R66" s="12">
        <v>2851</v>
      </c>
      <c r="S66" s="15" t="str">
        <f t="shared" si="0"/>
        <v>HIGH</v>
      </c>
    </row>
    <row r="67" spans="1:19" x14ac:dyDescent="0.25">
      <c r="A67" s="13">
        <v>42513</v>
      </c>
      <c r="B67" s="12">
        <v>23</v>
      </c>
      <c r="C67" s="12" t="s">
        <v>30</v>
      </c>
      <c r="D67" s="12">
        <v>2016</v>
      </c>
      <c r="E67" s="12">
        <v>47</v>
      </c>
      <c r="F67" s="12" t="s">
        <v>27</v>
      </c>
      <c r="G67" s="12" t="s">
        <v>31</v>
      </c>
      <c r="H67" s="12" t="s">
        <v>21</v>
      </c>
      <c r="I67" s="12" t="s">
        <v>22</v>
      </c>
      <c r="J67" s="12" t="s">
        <v>23</v>
      </c>
      <c r="K67" s="12" t="s">
        <v>24</v>
      </c>
      <c r="L67" s="12" t="s">
        <v>25</v>
      </c>
      <c r="M67" s="12">
        <v>23</v>
      </c>
      <c r="N67" s="12">
        <v>45</v>
      </c>
      <c r="O67" s="12">
        <v>120</v>
      </c>
      <c r="P67" s="12">
        <v>1697</v>
      </c>
      <c r="Q67" s="12">
        <v>1035</v>
      </c>
      <c r="R67" s="12">
        <v>2732</v>
      </c>
      <c r="S67" s="15" t="str">
        <f t="shared" si="0"/>
        <v>HIGH</v>
      </c>
    </row>
    <row r="68" spans="1:19" x14ac:dyDescent="0.25">
      <c r="A68" s="13">
        <v>41474</v>
      </c>
      <c r="B68" s="12">
        <v>19</v>
      </c>
      <c r="C68" s="12" t="s">
        <v>34</v>
      </c>
      <c r="D68" s="12">
        <v>2013</v>
      </c>
      <c r="E68" s="12">
        <v>32</v>
      </c>
      <c r="F68" s="12" t="s">
        <v>35</v>
      </c>
      <c r="G68" s="12" t="s">
        <v>31</v>
      </c>
      <c r="H68" s="12" t="s">
        <v>39</v>
      </c>
      <c r="I68" s="12" t="s">
        <v>40</v>
      </c>
      <c r="J68" s="12" t="s">
        <v>23</v>
      </c>
      <c r="K68" s="12" t="s">
        <v>24</v>
      </c>
      <c r="L68" s="12" t="s">
        <v>25</v>
      </c>
      <c r="M68" s="12">
        <v>9</v>
      </c>
      <c r="N68" s="12">
        <v>45</v>
      </c>
      <c r="O68" s="12">
        <v>120</v>
      </c>
      <c r="P68" s="12">
        <v>524</v>
      </c>
      <c r="Q68" s="12">
        <v>405</v>
      </c>
      <c r="R68" s="12">
        <v>929</v>
      </c>
      <c r="S68" s="15" t="str">
        <f t="shared" si="0"/>
        <v>medium</v>
      </c>
    </row>
    <row r="69" spans="1:19" x14ac:dyDescent="0.25">
      <c r="A69" s="13">
        <v>42204</v>
      </c>
      <c r="B69" s="12">
        <v>19</v>
      </c>
      <c r="C69" s="12" t="s">
        <v>34</v>
      </c>
      <c r="D69" s="12">
        <v>2015</v>
      </c>
      <c r="E69" s="12">
        <v>32</v>
      </c>
      <c r="F69" s="12" t="s">
        <v>35</v>
      </c>
      <c r="G69" s="12" t="s">
        <v>31</v>
      </c>
      <c r="H69" s="12" t="s">
        <v>39</v>
      </c>
      <c r="I69" s="12" t="s">
        <v>40</v>
      </c>
      <c r="J69" s="12" t="s">
        <v>23</v>
      </c>
      <c r="K69" s="12" t="s">
        <v>24</v>
      </c>
      <c r="L69" s="12" t="s">
        <v>25</v>
      </c>
      <c r="M69" s="12">
        <v>9</v>
      </c>
      <c r="N69" s="12">
        <v>45</v>
      </c>
      <c r="O69" s="12">
        <v>120</v>
      </c>
      <c r="P69" s="12">
        <v>524</v>
      </c>
      <c r="Q69" s="12">
        <v>405</v>
      </c>
      <c r="R69" s="12">
        <v>929</v>
      </c>
      <c r="S69" s="15" t="str">
        <f t="shared" si="0"/>
        <v>medium</v>
      </c>
    </row>
    <row r="70" spans="1:19" x14ac:dyDescent="0.25">
      <c r="A70" s="13">
        <v>41589</v>
      </c>
      <c r="B70" s="12">
        <v>11</v>
      </c>
      <c r="C70" s="12" t="s">
        <v>18</v>
      </c>
      <c r="D70" s="12">
        <v>2013</v>
      </c>
      <c r="E70" s="12">
        <v>34</v>
      </c>
      <c r="F70" s="12" t="s">
        <v>35</v>
      </c>
      <c r="G70" s="12" t="s">
        <v>20</v>
      </c>
      <c r="H70" s="12" t="s">
        <v>21</v>
      </c>
      <c r="I70" s="12" t="s">
        <v>22</v>
      </c>
      <c r="J70" s="12" t="s">
        <v>23</v>
      </c>
      <c r="K70" s="12" t="s">
        <v>24</v>
      </c>
      <c r="L70" s="12" t="s">
        <v>25</v>
      </c>
      <c r="M70" s="12">
        <v>25</v>
      </c>
      <c r="N70" s="12">
        <v>45</v>
      </c>
      <c r="O70" s="12">
        <v>120</v>
      </c>
      <c r="P70" s="12">
        <v>1845</v>
      </c>
      <c r="Q70" s="12">
        <v>1125</v>
      </c>
      <c r="R70" s="12">
        <v>2970</v>
      </c>
      <c r="S70" s="15" t="str">
        <f t="shared" si="0"/>
        <v>HIGH</v>
      </c>
    </row>
    <row r="71" spans="1:19" x14ac:dyDescent="0.25">
      <c r="A71" s="13">
        <v>42319</v>
      </c>
      <c r="B71" s="12">
        <v>11</v>
      </c>
      <c r="C71" s="12" t="s">
        <v>18</v>
      </c>
      <c r="D71" s="12">
        <v>2015</v>
      </c>
      <c r="E71" s="12">
        <v>34</v>
      </c>
      <c r="F71" s="12" t="s">
        <v>35</v>
      </c>
      <c r="G71" s="12" t="s">
        <v>20</v>
      </c>
      <c r="H71" s="12" t="s">
        <v>21</v>
      </c>
      <c r="I71" s="12" t="s">
        <v>22</v>
      </c>
      <c r="J71" s="12" t="s">
        <v>23</v>
      </c>
      <c r="K71" s="12" t="s">
        <v>24</v>
      </c>
      <c r="L71" s="12" t="s">
        <v>25</v>
      </c>
      <c r="M71" s="12">
        <v>23</v>
      </c>
      <c r="N71" s="12">
        <v>45</v>
      </c>
      <c r="O71" s="12">
        <v>120</v>
      </c>
      <c r="P71" s="12">
        <v>1697</v>
      </c>
      <c r="Q71" s="12">
        <v>1035</v>
      </c>
      <c r="R71" s="12">
        <v>2732</v>
      </c>
      <c r="S71" s="15" t="str">
        <f t="shared" si="0"/>
        <v>HIGH</v>
      </c>
    </row>
    <row r="72" spans="1:19" x14ac:dyDescent="0.25">
      <c r="A72" s="13">
        <v>41468</v>
      </c>
      <c r="B72" s="12">
        <v>13</v>
      </c>
      <c r="C72" s="12" t="s">
        <v>34</v>
      </c>
      <c r="D72" s="12">
        <v>2013</v>
      </c>
      <c r="E72" s="12">
        <v>43</v>
      </c>
      <c r="F72" s="12" t="s">
        <v>27</v>
      </c>
      <c r="G72" s="12" t="s">
        <v>31</v>
      </c>
      <c r="H72" s="12" t="s">
        <v>39</v>
      </c>
      <c r="I72" s="12" t="s">
        <v>42</v>
      </c>
      <c r="J72" s="12" t="s">
        <v>23</v>
      </c>
      <c r="K72" s="12" t="s">
        <v>24</v>
      </c>
      <c r="L72" s="12" t="s">
        <v>25</v>
      </c>
      <c r="M72" s="12">
        <v>10</v>
      </c>
      <c r="N72" s="12">
        <v>45</v>
      </c>
      <c r="O72" s="12">
        <v>120</v>
      </c>
      <c r="P72" s="12">
        <v>726</v>
      </c>
      <c r="Q72" s="12">
        <v>450</v>
      </c>
      <c r="R72" s="12">
        <v>1176</v>
      </c>
      <c r="S72" s="15" t="str">
        <f t="shared" si="0"/>
        <v>medium</v>
      </c>
    </row>
    <row r="73" spans="1:19" x14ac:dyDescent="0.25">
      <c r="A73" s="13">
        <v>42198</v>
      </c>
      <c r="B73" s="12">
        <v>13</v>
      </c>
      <c r="C73" s="12" t="s">
        <v>34</v>
      </c>
      <c r="D73" s="12">
        <v>2015</v>
      </c>
      <c r="E73" s="12">
        <v>43</v>
      </c>
      <c r="F73" s="12" t="s">
        <v>27</v>
      </c>
      <c r="G73" s="12" t="s">
        <v>31</v>
      </c>
      <c r="H73" s="12" t="s">
        <v>39</v>
      </c>
      <c r="I73" s="12" t="s">
        <v>42</v>
      </c>
      <c r="J73" s="12" t="s">
        <v>23</v>
      </c>
      <c r="K73" s="12" t="s">
        <v>24</v>
      </c>
      <c r="L73" s="12" t="s">
        <v>25</v>
      </c>
      <c r="M73" s="12">
        <v>10</v>
      </c>
      <c r="N73" s="12">
        <v>45</v>
      </c>
      <c r="O73" s="12">
        <v>120</v>
      </c>
      <c r="P73" s="12">
        <v>726</v>
      </c>
      <c r="Q73" s="12">
        <v>450</v>
      </c>
      <c r="R73" s="12">
        <v>1176</v>
      </c>
      <c r="S73" s="15" t="str">
        <f t="shared" si="0"/>
        <v>medium</v>
      </c>
    </row>
    <row r="74" spans="1:19" x14ac:dyDescent="0.25">
      <c r="A74" s="13">
        <v>41729</v>
      </c>
      <c r="B74" s="12">
        <v>31</v>
      </c>
      <c r="C74" s="12" t="s">
        <v>26</v>
      </c>
      <c r="D74" s="12">
        <v>2014</v>
      </c>
      <c r="E74" s="12">
        <v>43</v>
      </c>
      <c r="F74" s="12" t="s">
        <v>27</v>
      </c>
      <c r="G74" s="12" t="s">
        <v>31</v>
      </c>
      <c r="H74" s="12" t="s">
        <v>39</v>
      </c>
      <c r="I74" s="12" t="s">
        <v>42</v>
      </c>
      <c r="J74" s="12" t="s">
        <v>23</v>
      </c>
      <c r="K74" s="12" t="s">
        <v>24</v>
      </c>
      <c r="L74" s="12" t="s">
        <v>25</v>
      </c>
      <c r="M74" s="12">
        <v>11</v>
      </c>
      <c r="N74" s="12">
        <v>45</v>
      </c>
      <c r="O74" s="12">
        <v>120</v>
      </c>
      <c r="P74" s="12">
        <v>799</v>
      </c>
      <c r="Q74" s="12">
        <v>495</v>
      </c>
      <c r="R74" s="12">
        <v>1294</v>
      </c>
      <c r="S74" s="15" t="str">
        <f t="shared" si="0"/>
        <v>medium</v>
      </c>
    </row>
    <row r="75" spans="1:19" x14ac:dyDescent="0.25">
      <c r="A75" s="13">
        <v>42460</v>
      </c>
      <c r="B75" s="12">
        <v>31</v>
      </c>
      <c r="C75" s="12" t="s">
        <v>26</v>
      </c>
      <c r="D75" s="12">
        <v>2016</v>
      </c>
      <c r="E75" s="12">
        <v>43</v>
      </c>
      <c r="F75" s="12" t="s">
        <v>27</v>
      </c>
      <c r="G75" s="12" t="s">
        <v>31</v>
      </c>
      <c r="H75" s="12" t="s">
        <v>39</v>
      </c>
      <c r="I75" s="12" t="s">
        <v>42</v>
      </c>
      <c r="J75" s="12" t="s">
        <v>23</v>
      </c>
      <c r="K75" s="12" t="s">
        <v>24</v>
      </c>
      <c r="L75" s="12" t="s">
        <v>25</v>
      </c>
      <c r="M75" s="12">
        <v>11</v>
      </c>
      <c r="N75" s="12">
        <v>45</v>
      </c>
      <c r="O75" s="12">
        <v>120</v>
      </c>
      <c r="P75" s="12">
        <v>799</v>
      </c>
      <c r="Q75" s="12">
        <v>495</v>
      </c>
      <c r="R75" s="12">
        <v>1294</v>
      </c>
      <c r="S75" s="15" t="str">
        <f t="shared" si="0"/>
        <v>medium</v>
      </c>
    </row>
    <row r="76" spans="1:19" x14ac:dyDescent="0.25">
      <c r="A76" s="13">
        <v>41514</v>
      </c>
      <c r="B76" s="12">
        <v>28</v>
      </c>
      <c r="C76" s="12" t="s">
        <v>36</v>
      </c>
      <c r="D76" s="12">
        <v>2013</v>
      </c>
      <c r="E76" s="12">
        <v>61</v>
      </c>
      <c r="F76" s="12" t="s">
        <v>27</v>
      </c>
      <c r="G76" s="12" t="s">
        <v>20</v>
      </c>
      <c r="H76" s="12" t="s">
        <v>39</v>
      </c>
      <c r="I76" s="12" t="s">
        <v>42</v>
      </c>
      <c r="J76" s="12" t="s">
        <v>23</v>
      </c>
      <c r="K76" s="12" t="s">
        <v>24</v>
      </c>
      <c r="L76" s="12" t="s">
        <v>25</v>
      </c>
      <c r="M76" s="12">
        <v>8</v>
      </c>
      <c r="N76" s="12">
        <v>45</v>
      </c>
      <c r="O76" s="12">
        <v>120</v>
      </c>
      <c r="P76" s="12">
        <v>581</v>
      </c>
      <c r="Q76" s="12">
        <v>360</v>
      </c>
      <c r="R76" s="12">
        <v>941</v>
      </c>
      <c r="S76" s="15" t="str">
        <f t="shared" si="0"/>
        <v>medium</v>
      </c>
    </row>
    <row r="77" spans="1:19" x14ac:dyDescent="0.25">
      <c r="A77" s="13">
        <v>42244</v>
      </c>
      <c r="B77" s="12">
        <v>28</v>
      </c>
      <c r="C77" s="12" t="s">
        <v>36</v>
      </c>
      <c r="D77" s="12">
        <v>2015</v>
      </c>
      <c r="E77" s="12">
        <v>61</v>
      </c>
      <c r="F77" s="12" t="s">
        <v>27</v>
      </c>
      <c r="G77" s="12" t="s">
        <v>20</v>
      </c>
      <c r="H77" s="12" t="s">
        <v>39</v>
      </c>
      <c r="I77" s="12" t="s">
        <v>42</v>
      </c>
      <c r="J77" s="12" t="s">
        <v>23</v>
      </c>
      <c r="K77" s="12" t="s">
        <v>24</v>
      </c>
      <c r="L77" s="12" t="s">
        <v>25</v>
      </c>
      <c r="M77" s="12">
        <v>10</v>
      </c>
      <c r="N77" s="12">
        <v>45</v>
      </c>
      <c r="O77" s="12">
        <v>120</v>
      </c>
      <c r="P77" s="12">
        <v>726</v>
      </c>
      <c r="Q77" s="12">
        <v>450</v>
      </c>
      <c r="R77" s="12">
        <v>1176</v>
      </c>
      <c r="S77" s="15" t="str">
        <f t="shared" si="0"/>
        <v>medium</v>
      </c>
    </row>
    <row r="78" spans="1:19" x14ac:dyDescent="0.25">
      <c r="A78" s="13">
        <v>41513</v>
      </c>
      <c r="B78" s="12">
        <v>27</v>
      </c>
      <c r="C78" s="12" t="s">
        <v>36</v>
      </c>
      <c r="D78" s="12">
        <v>2013</v>
      </c>
      <c r="E78" s="12">
        <v>57</v>
      </c>
      <c r="F78" s="12" t="s">
        <v>27</v>
      </c>
      <c r="G78" s="12" t="s">
        <v>20</v>
      </c>
      <c r="H78" s="12" t="s">
        <v>21</v>
      </c>
      <c r="I78" s="12" t="s">
        <v>22</v>
      </c>
      <c r="J78" s="12" t="s">
        <v>23</v>
      </c>
      <c r="K78" s="12" t="s">
        <v>24</v>
      </c>
      <c r="L78" s="12" t="s">
        <v>25</v>
      </c>
      <c r="M78" s="12">
        <v>2</v>
      </c>
      <c r="N78" s="12">
        <v>45</v>
      </c>
      <c r="O78" s="12">
        <v>120</v>
      </c>
      <c r="P78" s="12">
        <v>148</v>
      </c>
      <c r="Q78" s="12">
        <v>90</v>
      </c>
      <c r="R78" s="12">
        <v>238</v>
      </c>
      <c r="S78" s="15" t="str">
        <f t="shared" si="0"/>
        <v>low</v>
      </c>
    </row>
    <row r="79" spans="1:19" x14ac:dyDescent="0.25">
      <c r="A79" s="13">
        <v>41595</v>
      </c>
      <c r="B79" s="12">
        <v>17</v>
      </c>
      <c r="C79" s="12" t="s">
        <v>18</v>
      </c>
      <c r="D79" s="12">
        <v>2013</v>
      </c>
      <c r="E79" s="12">
        <v>29</v>
      </c>
      <c r="F79" s="12" t="s">
        <v>35</v>
      </c>
      <c r="G79" s="12" t="s">
        <v>31</v>
      </c>
      <c r="H79" s="12" t="s">
        <v>21</v>
      </c>
      <c r="I79" s="12" t="s">
        <v>22</v>
      </c>
      <c r="J79" s="12" t="s">
        <v>23</v>
      </c>
      <c r="K79" s="12" t="s">
        <v>24</v>
      </c>
      <c r="L79" s="12" t="s">
        <v>25</v>
      </c>
      <c r="M79" s="12">
        <v>12</v>
      </c>
      <c r="N79" s="12">
        <v>45</v>
      </c>
      <c r="O79" s="12">
        <v>120</v>
      </c>
      <c r="P79" s="12">
        <v>886</v>
      </c>
      <c r="Q79" s="12">
        <v>540</v>
      </c>
      <c r="R79" s="12">
        <v>1426</v>
      </c>
      <c r="S79" s="15" t="str">
        <f t="shared" si="0"/>
        <v>medium</v>
      </c>
    </row>
    <row r="80" spans="1:19" x14ac:dyDescent="0.25">
      <c r="A80" s="13">
        <v>42325</v>
      </c>
      <c r="B80" s="12">
        <v>17</v>
      </c>
      <c r="C80" s="12" t="s">
        <v>18</v>
      </c>
      <c r="D80" s="12">
        <v>2015</v>
      </c>
      <c r="E80" s="12">
        <v>29</v>
      </c>
      <c r="F80" s="12" t="s">
        <v>35</v>
      </c>
      <c r="G80" s="12" t="s">
        <v>31</v>
      </c>
      <c r="H80" s="12" t="s">
        <v>21</v>
      </c>
      <c r="I80" s="12" t="s">
        <v>22</v>
      </c>
      <c r="J80" s="12" t="s">
        <v>23</v>
      </c>
      <c r="K80" s="12" t="s">
        <v>24</v>
      </c>
      <c r="L80" s="12" t="s">
        <v>25</v>
      </c>
      <c r="M80" s="12">
        <v>14</v>
      </c>
      <c r="N80" s="12">
        <v>45</v>
      </c>
      <c r="O80" s="12">
        <v>120</v>
      </c>
      <c r="P80" s="12">
        <v>1033</v>
      </c>
      <c r="Q80" s="12">
        <v>630</v>
      </c>
      <c r="R80" s="12">
        <v>1663</v>
      </c>
      <c r="S80" s="15" t="str">
        <f t="shared" si="0"/>
        <v>HIGH</v>
      </c>
    </row>
    <row r="81" spans="1:19" x14ac:dyDescent="0.25">
      <c r="A81" s="13">
        <v>41493</v>
      </c>
      <c r="B81" s="12">
        <v>7</v>
      </c>
      <c r="C81" s="12" t="s">
        <v>36</v>
      </c>
      <c r="D81" s="12">
        <v>2013</v>
      </c>
      <c r="E81" s="12">
        <v>38</v>
      </c>
      <c r="F81" s="12" t="s">
        <v>27</v>
      </c>
      <c r="G81" s="12" t="s">
        <v>20</v>
      </c>
      <c r="H81" s="12" t="s">
        <v>43</v>
      </c>
      <c r="I81" s="12" t="s">
        <v>44</v>
      </c>
      <c r="J81" s="12" t="s">
        <v>23</v>
      </c>
      <c r="K81" s="12" t="s">
        <v>24</v>
      </c>
      <c r="L81" s="12" t="s">
        <v>25</v>
      </c>
      <c r="M81" s="12">
        <v>3</v>
      </c>
      <c r="N81" s="12">
        <v>45</v>
      </c>
      <c r="O81" s="12">
        <v>120</v>
      </c>
      <c r="P81" s="12">
        <v>160</v>
      </c>
      <c r="Q81" s="12">
        <v>135</v>
      </c>
      <c r="R81" s="12">
        <v>295</v>
      </c>
      <c r="S81" s="15" t="str">
        <f t="shared" si="0"/>
        <v>low</v>
      </c>
    </row>
    <row r="82" spans="1:19" x14ac:dyDescent="0.25">
      <c r="A82" s="13">
        <v>42223</v>
      </c>
      <c r="B82" s="12">
        <v>7</v>
      </c>
      <c r="C82" s="12" t="s">
        <v>36</v>
      </c>
      <c r="D82" s="12">
        <v>2015</v>
      </c>
      <c r="E82" s="12">
        <v>38</v>
      </c>
      <c r="F82" s="12" t="s">
        <v>27</v>
      </c>
      <c r="G82" s="12" t="s">
        <v>20</v>
      </c>
      <c r="H82" s="12" t="s">
        <v>43</v>
      </c>
      <c r="I82" s="12" t="s">
        <v>44</v>
      </c>
      <c r="J82" s="12" t="s">
        <v>23</v>
      </c>
      <c r="K82" s="12" t="s">
        <v>24</v>
      </c>
      <c r="L82" s="12" t="s">
        <v>25</v>
      </c>
      <c r="M82" s="12">
        <v>1</v>
      </c>
      <c r="N82" s="12">
        <v>45</v>
      </c>
      <c r="O82" s="12">
        <v>120</v>
      </c>
      <c r="P82" s="12">
        <v>53</v>
      </c>
      <c r="Q82" s="12">
        <v>45</v>
      </c>
      <c r="R82" s="12">
        <v>98</v>
      </c>
      <c r="S82" s="15" t="str">
        <f t="shared" si="0"/>
        <v>low</v>
      </c>
    </row>
    <row r="83" spans="1:19" x14ac:dyDescent="0.25">
      <c r="A83" s="13">
        <v>41470</v>
      </c>
      <c r="B83" s="12">
        <v>15</v>
      </c>
      <c r="C83" s="12" t="s">
        <v>34</v>
      </c>
      <c r="D83" s="12">
        <v>2013</v>
      </c>
      <c r="E83" s="12">
        <v>52</v>
      </c>
      <c r="F83" s="12" t="s">
        <v>27</v>
      </c>
      <c r="G83" s="12" t="s">
        <v>31</v>
      </c>
      <c r="H83" s="12" t="s">
        <v>45</v>
      </c>
      <c r="I83" s="12" t="s">
        <v>46</v>
      </c>
      <c r="J83" s="12" t="s">
        <v>23</v>
      </c>
      <c r="K83" s="12" t="s">
        <v>24</v>
      </c>
      <c r="L83" s="12" t="s">
        <v>25</v>
      </c>
      <c r="M83" s="12">
        <v>8</v>
      </c>
      <c r="N83" s="12">
        <v>45</v>
      </c>
      <c r="O83" s="12">
        <v>120</v>
      </c>
      <c r="P83" s="12">
        <v>427</v>
      </c>
      <c r="Q83" s="12">
        <v>360</v>
      </c>
      <c r="R83" s="12">
        <v>787</v>
      </c>
      <c r="S83" s="15" t="str">
        <f t="shared" si="0"/>
        <v>low</v>
      </c>
    </row>
    <row r="84" spans="1:19" x14ac:dyDescent="0.25">
      <c r="A84" s="13">
        <v>42200</v>
      </c>
      <c r="B84" s="12">
        <v>15</v>
      </c>
      <c r="C84" s="12" t="s">
        <v>34</v>
      </c>
      <c r="D84" s="12">
        <v>2015</v>
      </c>
      <c r="E84" s="12">
        <v>52</v>
      </c>
      <c r="F84" s="12" t="s">
        <v>27</v>
      </c>
      <c r="G84" s="12" t="s">
        <v>31</v>
      </c>
      <c r="H84" s="12" t="s">
        <v>45</v>
      </c>
      <c r="I84" s="12" t="s">
        <v>46</v>
      </c>
      <c r="J84" s="12" t="s">
        <v>23</v>
      </c>
      <c r="K84" s="12" t="s">
        <v>24</v>
      </c>
      <c r="L84" s="12" t="s">
        <v>25</v>
      </c>
      <c r="M84" s="12">
        <v>8</v>
      </c>
      <c r="N84" s="12">
        <v>45</v>
      </c>
      <c r="O84" s="12">
        <v>120</v>
      </c>
      <c r="P84" s="12">
        <v>427</v>
      </c>
      <c r="Q84" s="12">
        <v>360</v>
      </c>
      <c r="R84" s="12">
        <v>787</v>
      </c>
      <c r="S84" s="15" t="str">
        <f t="shared" si="0"/>
        <v>low</v>
      </c>
    </row>
    <row r="85" spans="1:19" x14ac:dyDescent="0.25">
      <c r="A85" s="13">
        <v>41503</v>
      </c>
      <c r="B85" s="12">
        <v>17</v>
      </c>
      <c r="C85" s="12" t="s">
        <v>36</v>
      </c>
      <c r="D85" s="12">
        <v>2013</v>
      </c>
      <c r="E85" s="12">
        <v>43</v>
      </c>
      <c r="F85" s="12" t="s">
        <v>27</v>
      </c>
      <c r="G85" s="12" t="s">
        <v>31</v>
      </c>
      <c r="H85" s="12" t="s">
        <v>45</v>
      </c>
      <c r="I85" s="12" t="s">
        <v>47</v>
      </c>
      <c r="J85" s="12" t="s">
        <v>23</v>
      </c>
      <c r="K85" s="12" t="s">
        <v>24</v>
      </c>
      <c r="L85" s="12" t="s">
        <v>25</v>
      </c>
      <c r="M85" s="12">
        <v>28</v>
      </c>
      <c r="N85" s="12">
        <v>45</v>
      </c>
      <c r="O85" s="12">
        <v>120</v>
      </c>
      <c r="P85" s="12">
        <v>1697</v>
      </c>
      <c r="Q85" s="12">
        <v>1260</v>
      </c>
      <c r="R85" s="12">
        <v>2957</v>
      </c>
      <c r="S85" s="15" t="str">
        <f t="shared" si="0"/>
        <v>HIGH</v>
      </c>
    </row>
    <row r="86" spans="1:19" x14ac:dyDescent="0.25">
      <c r="A86" s="13">
        <v>42233</v>
      </c>
      <c r="B86" s="12">
        <v>17</v>
      </c>
      <c r="C86" s="12" t="s">
        <v>36</v>
      </c>
      <c r="D86" s="12">
        <v>2015</v>
      </c>
      <c r="E86" s="12">
        <v>43</v>
      </c>
      <c r="F86" s="12" t="s">
        <v>27</v>
      </c>
      <c r="G86" s="12" t="s">
        <v>31</v>
      </c>
      <c r="H86" s="12" t="s">
        <v>45</v>
      </c>
      <c r="I86" s="12" t="s">
        <v>47</v>
      </c>
      <c r="J86" s="12" t="s">
        <v>23</v>
      </c>
      <c r="K86" s="12" t="s">
        <v>24</v>
      </c>
      <c r="L86" s="12" t="s">
        <v>25</v>
      </c>
      <c r="M86" s="12">
        <v>27</v>
      </c>
      <c r="N86" s="12">
        <v>45</v>
      </c>
      <c r="O86" s="12">
        <v>120</v>
      </c>
      <c r="P86" s="12">
        <v>1636</v>
      </c>
      <c r="Q86" s="12">
        <v>1215</v>
      </c>
      <c r="R86" s="12">
        <v>2851</v>
      </c>
      <c r="S86" s="15" t="str">
        <f t="shared" si="0"/>
        <v>HIGH</v>
      </c>
    </row>
    <row r="87" spans="1:19" x14ac:dyDescent="0.25">
      <c r="A87" s="13">
        <v>41472</v>
      </c>
      <c r="B87" s="12">
        <v>17</v>
      </c>
      <c r="C87" s="12" t="s">
        <v>34</v>
      </c>
      <c r="D87" s="12">
        <v>2013</v>
      </c>
      <c r="E87" s="12">
        <v>24</v>
      </c>
      <c r="F87" s="12" t="s">
        <v>19</v>
      </c>
      <c r="G87" s="12" t="s">
        <v>31</v>
      </c>
      <c r="H87" s="12" t="s">
        <v>28</v>
      </c>
      <c r="I87" s="12" t="s">
        <v>48</v>
      </c>
      <c r="J87" s="12" t="s">
        <v>23</v>
      </c>
      <c r="K87" s="12" t="s">
        <v>24</v>
      </c>
      <c r="L87" s="12" t="s">
        <v>25</v>
      </c>
      <c r="M87" s="12">
        <v>9</v>
      </c>
      <c r="N87" s="12">
        <v>45</v>
      </c>
      <c r="O87" s="12">
        <v>120</v>
      </c>
      <c r="P87" s="12">
        <v>502</v>
      </c>
      <c r="Q87" s="12">
        <v>405</v>
      </c>
      <c r="R87" s="12">
        <v>907</v>
      </c>
      <c r="S87" s="15" t="str">
        <f t="shared" si="0"/>
        <v>medium</v>
      </c>
    </row>
    <row r="88" spans="1:19" x14ac:dyDescent="0.25">
      <c r="A88" s="13">
        <v>42202</v>
      </c>
      <c r="B88" s="12">
        <v>17</v>
      </c>
      <c r="C88" s="12" t="s">
        <v>34</v>
      </c>
      <c r="D88" s="12">
        <v>2015</v>
      </c>
      <c r="E88" s="12">
        <v>24</v>
      </c>
      <c r="F88" s="12" t="s">
        <v>19</v>
      </c>
      <c r="G88" s="12" t="s">
        <v>31</v>
      </c>
      <c r="H88" s="12" t="s">
        <v>28</v>
      </c>
      <c r="I88" s="12" t="s">
        <v>48</v>
      </c>
      <c r="J88" s="12" t="s">
        <v>23</v>
      </c>
      <c r="K88" s="12" t="s">
        <v>24</v>
      </c>
      <c r="L88" s="12" t="s">
        <v>25</v>
      </c>
      <c r="M88" s="12">
        <v>6</v>
      </c>
      <c r="N88" s="12">
        <v>45</v>
      </c>
      <c r="O88" s="12">
        <v>120</v>
      </c>
      <c r="P88" s="12">
        <v>335</v>
      </c>
      <c r="Q88" s="12">
        <v>270</v>
      </c>
      <c r="R88" s="12">
        <v>605</v>
      </c>
      <c r="S88" s="15" t="str">
        <f t="shared" si="0"/>
        <v>low</v>
      </c>
    </row>
    <row r="89" spans="1:19" x14ac:dyDescent="0.25">
      <c r="A89" s="13">
        <v>41639</v>
      </c>
      <c r="B89" s="12">
        <v>31</v>
      </c>
      <c r="C89" s="12" t="s">
        <v>41</v>
      </c>
      <c r="D89" s="12">
        <v>2013</v>
      </c>
      <c r="E89" s="12">
        <v>23</v>
      </c>
      <c r="F89" s="12" t="s">
        <v>19</v>
      </c>
      <c r="G89" s="12" t="s">
        <v>20</v>
      </c>
      <c r="H89" s="12" t="s">
        <v>39</v>
      </c>
      <c r="I89" s="12" t="s">
        <v>42</v>
      </c>
      <c r="J89" s="12" t="s">
        <v>23</v>
      </c>
      <c r="K89" s="12" t="s">
        <v>24</v>
      </c>
      <c r="L89" s="12" t="s">
        <v>25</v>
      </c>
      <c r="M89" s="12">
        <v>6</v>
      </c>
      <c r="N89" s="12">
        <v>45</v>
      </c>
      <c r="O89" s="12">
        <v>120</v>
      </c>
      <c r="P89" s="12">
        <v>436</v>
      </c>
      <c r="Q89" s="12">
        <v>270</v>
      </c>
      <c r="R89" s="12">
        <v>706</v>
      </c>
      <c r="S89" s="15" t="str">
        <f t="shared" si="0"/>
        <v>low</v>
      </c>
    </row>
    <row r="90" spans="1:19" x14ac:dyDescent="0.25">
      <c r="A90" s="13">
        <v>42369</v>
      </c>
      <c r="B90" s="12">
        <v>31</v>
      </c>
      <c r="C90" s="12" t="s">
        <v>41</v>
      </c>
      <c r="D90" s="12">
        <v>2015</v>
      </c>
      <c r="E90" s="12">
        <v>23</v>
      </c>
      <c r="F90" s="12" t="s">
        <v>19</v>
      </c>
      <c r="G90" s="12" t="s">
        <v>20</v>
      </c>
      <c r="H90" s="12" t="s">
        <v>39</v>
      </c>
      <c r="I90" s="12" t="s">
        <v>42</v>
      </c>
      <c r="J90" s="12" t="s">
        <v>23</v>
      </c>
      <c r="K90" s="12" t="s">
        <v>24</v>
      </c>
      <c r="L90" s="12" t="s">
        <v>25</v>
      </c>
      <c r="M90" s="12">
        <v>7</v>
      </c>
      <c r="N90" s="12">
        <v>45</v>
      </c>
      <c r="O90" s="12">
        <v>120</v>
      </c>
      <c r="P90" s="12">
        <v>508</v>
      </c>
      <c r="Q90" s="12">
        <v>315</v>
      </c>
      <c r="R90" s="12">
        <v>823</v>
      </c>
      <c r="S90" s="15" t="str">
        <f t="shared" si="0"/>
        <v>medium</v>
      </c>
    </row>
    <row r="91" spans="1:19" x14ac:dyDescent="0.25">
      <c r="A91" s="13">
        <v>41534</v>
      </c>
      <c r="B91" s="12">
        <v>17</v>
      </c>
      <c r="C91" s="12" t="s">
        <v>37</v>
      </c>
      <c r="D91" s="12">
        <v>2013</v>
      </c>
      <c r="E91" s="12">
        <v>29</v>
      </c>
      <c r="F91" s="12" t="s">
        <v>35</v>
      </c>
      <c r="G91" s="12" t="s">
        <v>31</v>
      </c>
      <c r="H91" s="12" t="s">
        <v>49</v>
      </c>
      <c r="I91" s="12" t="s">
        <v>50</v>
      </c>
      <c r="J91" s="12" t="s">
        <v>23</v>
      </c>
      <c r="K91" s="12" t="s">
        <v>24</v>
      </c>
      <c r="L91" s="12" t="s">
        <v>25</v>
      </c>
      <c r="M91" s="12">
        <v>15</v>
      </c>
      <c r="N91" s="12">
        <v>45</v>
      </c>
      <c r="O91" s="12">
        <v>120</v>
      </c>
      <c r="P91" s="12">
        <v>1053</v>
      </c>
      <c r="Q91" s="12">
        <v>675</v>
      </c>
      <c r="R91" s="12">
        <v>1728</v>
      </c>
      <c r="S91" s="15" t="str">
        <f t="shared" si="0"/>
        <v>HIGH</v>
      </c>
    </row>
    <row r="92" spans="1:19" x14ac:dyDescent="0.25">
      <c r="A92" s="13">
        <v>42264</v>
      </c>
      <c r="B92" s="12">
        <v>17</v>
      </c>
      <c r="C92" s="12" t="s">
        <v>37</v>
      </c>
      <c r="D92" s="12">
        <v>2015</v>
      </c>
      <c r="E92" s="12">
        <v>29</v>
      </c>
      <c r="F92" s="12" t="s">
        <v>35</v>
      </c>
      <c r="G92" s="12" t="s">
        <v>31</v>
      </c>
      <c r="H92" s="12" t="s">
        <v>49</v>
      </c>
      <c r="I92" s="12" t="s">
        <v>50</v>
      </c>
      <c r="J92" s="12" t="s">
        <v>23</v>
      </c>
      <c r="K92" s="12" t="s">
        <v>24</v>
      </c>
      <c r="L92" s="12" t="s">
        <v>25</v>
      </c>
      <c r="M92" s="12">
        <v>15</v>
      </c>
      <c r="N92" s="12">
        <v>45</v>
      </c>
      <c r="O92" s="12">
        <v>120</v>
      </c>
      <c r="P92" s="12">
        <v>1053</v>
      </c>
      <c r="Q92" s="12">
        <v>675</v>
      </c>
      <c r="R92" s="12">
        <v>1728</v>
      </c>
      <c r="S92" s="15" t="str">
        <f t="shared" si="0"/>
        <v>HIGH</v>
      </c>
    </row>
    <row r="93" spans="1:19" x14ac:dyDescent="0.25">
      <c r="A93" s="13">
        <v>41541</v>
      </c>
      <c r="B93" s="12">
        <v>24</v>
      </c>
      <c r="C93" s="12" t="s">
        <v>37</v>
      </c>
      <c r="D93" s="12">
        <v>2013</v>
      </c>
      <c r="E93" s="12">
        <v>32</v>
      </c>
      <c r="F93" s="12" t="s">
        <v>35</v>
      </c>
      <c r="G93" s="12" t="s">
        <v>20</v>
      </c>
      <c r="H93" s="12" t="s">
        <v>45</v>
      </c>
      <c r="I93" s="12" t="s">
        <v>51</v>
      </c>
      <c r="J93" s="12" t="s">
        <v>23</v>
      </c>
      <c r="K93" s="12" t="s">
        <v>24</v>
      </c>
      <c r="L93" s="12" t="s">
        <v>25</v>
      </c>
      <c r="M93" s="12">
        <v>6</v>
      </c>
      <c r="N93" s="12">
        <v>45</v>
      </c>
      <c r="O93" s="12">
        <v>120</v>
      </c>
      <c r="P93" s="12">
        <v>356</v>
      </c>
      <c r="Q93" s="12">
        <v>270</v>
      </c>
      <c r="R93" s="12">
        <v>626</v>
      </c>
      <c r="S93" s="15" t="str">
        <f t="shared" si="0"/>
        <v>low</v>
      </c>
    </row>
    <row r="94" spans="1:19" x14ac:dyDescent="0.25">
      <c r="A94" s="13">
        <v>42271</v>
      </c>
      <c r="B94" s="12">
        <v>24</v>
      </c>
      <c r="C94" s="12" t="s">
        <v>37</v>
      </c>
      <c r="D94" s="12">
        <v>2015</v>
      </c>
      <c r="E94" s="12">
        <v>32</v>
      </c>
      <c r="F94" s="12" t="s">
        <v>35</v>
      </c>
      <c r="G94" s="12" t="s">
        <v>20</v>
      </c>
      <c r="H94" s="12" t="s">
        <v>45</v>
      </c>
      <c r="I94" s="12" t="s">
        <v>51</v>
      </c>
      <c r="J94" s="12" t="s">
        <v>23</v>
      </c>
      <c r="K94" s="12" t="s">
        <v>24</v>
      </c>
      <c r="L94" s="12" t="s">
        <v>25</v>
      </c>
      <c r="M94" s="12">
        <v>3</v>
      </c>
      <c r="N94" s="12">
        <v>45</v>
      </c>
      <c r="O94" s="12">
        <v>120</v>
      </c>
      <c r="P94" s="12">
        <v>178</v>
      </c>
      <c r="Q94" s="12">
        <v>135</v>
      </c>
      <c r="R94" s="12">
        <v>313</v>
      </c>
      <c r="S94" s="15" t="str">
        <f t="shared" si="0"/>
        <v>low</v>
      </c>
    </row>
    <row r="95" spans="1:19" x14ac:dyDescent="0.25">
      <c r="A95" s="13">
        <v>41542</v>
      </c>
      <c r="B95" s="12">
        <v>25</v>
      </c>
      <c r="C95" s="12" t="s">
        <v>37</v>
      </c>
      <c r="D95" s="12">
        <v>2013</v>
      </c>
      <c r="E95" s="12">
        <v>19</v>
      </c>
      <c r="F95" s="12" t="s">
        <v>19</v>
      </c>
      <c r="G95" s="12" t="s">
        <v>31</v>
      </c>
      <c r="H95" s="12" t="s">
        <v>43</v>
      </c>
      <c r="I95" s="12" t="s">
        <v>44</v>
      </c>
      <c r="J95" s="12" t="s">
        <v>23</v>
      </c>
      <c r="K95" s="12" t="s">
        <v>24</v>
      </c>
      <c r="L95" s="12" t="s">
        <v>25</v>
      </c>
      <c r="M95" s="12">
        <v>6</v>
      </c>
      <c r="N95" s="12">
        <v>45</v>
      </c>
      <c r="O95" s="12">
        <v>120</v>
      </c>
      <c r="P95" s="12">
        <v>320</v>
      </c>
      <c r="Q95" s="12">
        <v>270</v>
      </c>
      <c r="R95" s="12">
        <v>590</v>
      </c>
      <c r="S95" s="15" t="str">
        <f t="shared" si="0"/>
        <v>low</v>
      </c>
    </row>
    <row r="96" spans="1:19" x14ac:dyDescent="0.25">
      <c r="A96" s="13">
        <v>42272</v>
      </c>
      <c r="B96" s="12">
        <v>25</v>
      </c>
      <c r="C96" s="12" t="s">
        <v>37</v>
      </c>
      <c r="D96" s="12">
        <v>2015</v>
      </c>
      <c r="E96" s="12">
        <v>19</v>
      </c>
      <c r="F96" s="12" t="s">
        <v>19</v>
      </c>
      <c r="G96" s="12" t="s">
        <v>31</v>
      </c>
      <c r="H96" s="12" t="s">
        <v>43</v>
      </c>
      <c r="I96" s="12" t="s">
        <v>44</v>
      </c>
      <c r="J96" s="12" t="s">
        <v>23</v>
      </c>
      <c r="K96" s="12" t="s">
        <v>24</v>
      </c>
      <c r="L96" s="12" t="s">
        <v>25</v>
      </c>
      <c r="M96" s="12">
        <v>8</v>
      </c>
      <c r="N96" s="12">
        <v>45</v>
      </c>
      <c r="O96" s="12">
        <v>120</v>
      </c>
      <c r="P96" s="12">
        <v>427</v>
      </c>
      <c r="Q96" s="12">
        <v>360</v>
      </c>
      <c r="R96" s="12">
        <v>787</v>
      </c>
      <c r="S96" s="15" t="str">
        <f t="shared" si="0"/>
        <v>low</v>
      </c>
    </row>
    <row r="97" spans="1:19" x14ac:dyDescent="0.25">
      <c r="A97" s="13">
        <v>41604</v>
      </c>
      <c r="B97" s="12">
        <v>26</v>
      </c>
      <c r="C97" s="12" t="s">
        <v>18</v>
      </c>
      <c r="D97" s="12">
        <v>2013</v>
      </c>
      <c r="E97" s="12">
        <v>26</v>
      </c>
      <c r="F97" s="12" t="s">
        <v>35</v>
      </c>
      <c r="G97" s="12" t="s">
        <v>31</v>
      </c>
      <c r="H97" s="12" t="s">
        <v>21</v>
      </c>
      <c r="I97" s="12" t="s">
        <v>22</v>
      </c>
      <c r="J97" s="12" t="s">
        <v>23</v>
      </c>
      <c r="K97" s="12" t="s">
        <v>24</v>
      </c>
      <c r="L97" s="12" t="s">
        <v>25</v>
      </c>
      <c r="M97" s="12">
        <v>7</v>
      </c>
      <c r="N97" s="12">
        <v>45</v>
      </c>
      <c r="O97" s="12">
        <v>120</v>
      </c>
      <c r="P97" s="12">
        <v>517</v>
      </c>
      <c r="Q97" s="12">
        <v>315</v>
      </c>
      <c r="R97" s="12">
        <v>832</v>
      </c>
      <c r="S97" s="15" t="str">
        <f t="shared" si="0"/>
        <v>medium</v>
      </c>
    </row>
    <row r="98" spans="1:19" x14ac:dyDescent="0.25">
      <c r="A98" s="13">
        <v>41489</v>
      </c>
      <c r="B98" s="12">
        <v>3</v>
      </c>
      <c r="C98" s="12" t="s">
        <v>36</v>
      </c>
      <c r="D98" s="12">
        <v>2013</v>
      </c>
      <c r="E98" s="12">
        <v>35</v>
      </c>
      <c r="F98" s="12" t="s">
        <v>27</v>
      </c>
      <c r="G98" s="12" t="s">
        <v>20</v>
      </c>
      <c r="H98" s="12" t="s">
        <v>21</v>
      </c>
      <c r="I98" s="12" t="s">
        <v>22</v>
      </c>
      <c r="J98" s="12" t="s">
        <v>23</v>
      </c>
      <c r="K98" s="12" t="s">
        <v>24</v>
      </c>
      <c r="L98" s="12" t="s">
        <v>25</v>
      </c>
      <c r="M98" s="12">
        <v>1</v>
      </c>
      <c r="N98" s="12">
        <v>45</v>
      </c>
      <c r="O98" s="12">
        <v>120</v>
      </c>
      <c r="P98" s="12">
        <v>74</v>
      </c>
      <c r="Q98" s="12">
        <v>45</v>
      </c>
      <c r="R98" s="12">
        <v>119</v>
      </c>
      <c r="S98" s="15" t="str">
        <f t="shared" si="0"/>
        <v>low</v>
      </c>
    </row>
    <row r="99" spans="1:19" x14ac:dyDescent="0.25">
      <c r="A99" s="13">
        <v>41809</v>
      </c>
      <c r="B99" s="12">
        <v>19</v>
      </c>
      <c r="C99" s="12" t="s">
        <v>52</v>
      </c>
      <c r="D99" s="12">
        <v>2014</v>
      </c>
      <c r="E99" s="12">
        <v>35</v>
      </c>
      <c r="F99" s="12" t="s">
        <v>27</v>
      </c>
      <c r="G99" s="12" t="s">
        <v>20</v>
      </c>
      <c r="H99" s="12" t="s">
        <v>21</v>
      </c>
      <c r="I99" s="12" t="s">
        <v>22</v>
      </c>
      <c r="J99" s="12" t="s">
        <v>23</v>
      </c>
      <c r="K99" s="12" t="s">
        <v>24</v>
      </c>
      <c r="L99" s="12" t="s">
        <v>25</v>
      </c>
      <c r="M99" s="12">
        <v>10</v>
      </c>
      <c r="N99" s="12">
        <v>45</v>
      </c>
      <c r="O99" s="12">
        <v>120</v>
      </c>
      <c r="P99" s="12">
        <v>738</v>
      </c>
      <c r="Q99" s="12">
        <v>450</v>
      </c>
      <c r="R99" s="12">
        <v>1188</v>
      </c>
      <c r="S99" s="15" t="str">
        <f t="shared" ref="S99:S128" si="1">IF(P99&gt;1000,"HIGH",IF(P99&gt;500,"medium","low"))</f>
        <v>medium</v>
      </c>
    </row>
    <row r="100" spans="1:19" x14ac:dyDescent="0.25">
      <c r="A100" s="13">
        <v>42540</v>
      </c>
      <c r="B100" s="12">
        <v>19</v>
      </c>
      <c r="C100" s="12" t="s">
        <v>52</v>
      </c>
      <c r="D100" s="12">
        <v>2016</v>
      </c>
      <c r="E100" s="12">
        <v>35</v>
      </c>
      <c r="F100" s="12" t="s">
        <v>27</v>
      </c>
      <c r="G100" s="12" t="s">
        <v>20</v>
      </c>
      <c r="H100" s="12" t="s">
        <v>21</v>
      </c>
      <c r="I100" s="12" t="s">
        <v>22</v>
      </c>
      <c r="J100" s="12" t="s">
        <v>23</v>
      </c>
      <c r="K100" s="12" t="s">
        <v>24</v>
      </c>
      <c r="L100" s="12" t="s">
        <v>25</v>
      </c>
      <c r="M100" s="12">
        <v>12</v>
      </c>
      <c r="N100" s="12">
        <v>45</v>
      </c>
      <c r="O100" s="12">
        <v>120</v>
      </c>
      <c r="P100" s="12">
        <v>886</v>
      </c>
      <c r="Q100" s="12">
        <v>540</v>
      </c>
      <c r="R100" s="12">
        <v>1426</v>
      </c>
      <c r="S100" s="15" t="str">
        <f t="shared" si="1"/>
        <v>medium</v>
      </c>
    </row>
    <row r="101" spans="1:19" x14ac:dyDescent="0.25">
      <c r="A101" s="13">
        <v>41702</v>
      </c>
      <c r="B101" s="12">
        <v>4</v>
      </c>
      <c r="C101" s="12" t="s">
        <v>26</v>
      </c>
      <c r="D101" s="12">
        <v>2014</v>
      </c>
      <c r="E101" s="12">
        <v>38</v>
      </c>
      <c r="F101" s="12" t="s">
        <v>27</v>
      </c>
      <c r="G101" s="12" t="s">
        <v>31</v>
      </c>
      <c r="H101" s="12" t="s">
        <v>39</v>
      </c>
      <c r="I101" s="12" t="s">
        <v>42</v>
      </c>
      <c r="J101" s="12" t="s">
        <v>23</v>
      </c>
      <c r="K101" s="12" t="s">
        <v>24</v>
      </c>
      <c r="L101" s="12" t="s">
        <v>25</v>
      </c>
      <c r="M101" s="12">
        <v>4</v>
      </c>
      <c r="N101" s="12">
        <v>45</v>
      </c>
      <c r="O101" s="12">
        <v>120</v>
      </c>
      <c r="P101" s="12">
        <v>290</v>
      </c>
      <c r="Q101" s="12">
        <v>180</v>
      </c>
      <c r="R101" s="12">
        <v>470</v>
      </c>
      <c r="S101" s="15" t="str">
        <f t="shared" si="1"/>
        <v>low</v>
      </c>
    </row>
    <row r="102" spans="1:19" x14ac:dyDescent="0.25">
      <c r="A102" s="13">
        <v>42433</v>
      </c>
      <c r="B102" s="12">
        <v>4</v>
      </c>
      <c r="C102" s="12" t="s">
        <v>26</v>
      </c>
      <c r="D102" s="12">
        <v>2016</v>
      </c>
      <c r="E102" s="12">
        <v>38</v>
      </c>
      <c r="F102" s="12" t="s">
        <v>27</v>
      </c>
      <c r="G102" s="12" t="s">
        <v>31</v>
      </c>
      <c r="H102" s="12" t="s">
        <v>39</v>
      </c>
      <c r="I102" s="12" t="s">
        <v>42</v>
      </c>
      <c r="J102" s="12" t="s">
        <v>23</v>
      </c>
      <c r="K102" s="12" t="s">
        <v>24</v>
      </c>
      <c r="L102" s="12" t="s">
        <v>25</v>
      </c>
      <c r="M102" s="12">
        <v>3</v>
      </c>
      <c r="N102" s="12">
        <v>45</v>
      </c>
      <c r="O102" s="12">
        <v>120</v>
      </c>
      <c r="P102" s="12">
        <v>218</v>
      </c>
      <c r="Q102" s="12">
        <v>135</v>
      </c>
      <c r="R102" s="12">
        <v>353</v>
      </c>
      <c r="S102" s="15" t="str">
        <f t="shared" si="1"/>
        <v>low</v>
      </c>
    </row>
    <row r="103" spans="1:19" x14ac:dyDescent="0.25">
      <c r="A103" s="13">
        <v>41789</v>
      </c>
      <c r="B103" s="12">
        <v>30</v>
      </c>
      <c r="C103" s="12" t="s">
        <v>30</v>
      </c>
      <c r="D103" s="12">
        <v>2014</v>
      </c>
      <c r="E103" s="12">
        <v>38</v>
      </c>
      <c r="F103" s="12" t="s">
        <v>27</v>
      </c>
      <c r="G103" s="12" t="s">
        <v>31</v>
      </c>
      <c r="H103" s="12" t="s">
        <v>39</v>
      </c>
      <c r="I103" s="12" t="s">
        <v>42</v>
      </c>
      <c r="J103" s="12" t="s">
        <v>23</v>
      </c>
      <c r="K103" s="12" t="s">
        <v>24</v>
      </c>
      <c r="L103" s="12" t="s">
        <v>25</v>
      </c>
      <c r="M103" s="12">
        <v>2</v>
      </c>
      <c r="N103" s="12">
        <v>45</v>
      </c>
      <c r="O103" s="12">
        <v>120</v>
      </c>
      <c r="P103" s="12">
        <v>145</v>
      </c>
      <c r="Q103" s="12">
        <v>90</v>
      </c>
      <c r="R103" s="12">
        <v>235</v>
      </c>
      <c r="S103" s="15" t="str">
        <f t="shared" si="1"/>
        <v>low</v>
      </c>
    </row>
    <row r="104" spans="1:19" x14ac:dyDescent="0.25">
      <c r="A104" s="13">
        <v>42520</v>
      </c>
      <c r="B104" s="12">
        <v>30</v>
      </c>
      <c r="C104" s="12" t="s">
        <v>30</v>
      </c>
      <c r="D104" s="12">
        <v>2016</v>
      </c>
      <c r="E104" s="12">
        <v>38</v>
      </c>
      <c r="F104" s="12" t="s">
        <v>27</v>
      </c>
      <c r="G104" s="12" t="s">
        <v>31</v>
      </c>
      <c r="H104" s="12" t="s">
        <v>39</v>
      </c>
      <c r="I104" s="12" t="s">
        <v>42</v>
      </c>
      <c r="J104" s="12" t="s">
        <v>23</v>
      </c>
      <c r="K104" s="12" t="s">
        <v>24</v>
      </c>
      <c r="L104" s="12" t="s">
        <v>25</v>
      </c>
      <c r="M104" s="12">
        <v>2</v>
      </c>
      <c r="N104" s="12">
        <v>45</v>
      </c>
      <c r="O104" s="12">
        <v>120</v>
      </c>
      <c r="P104" s="12">
        <v>145</v>
      </c>
      <c r="Q104" s="12">
        <v>90</v>
      </c>
      <c r="R104" s="12">
        <v>235</v>
      </c>
      <c r="S104" s="15" t="str">
        <f t="shared" si="1"/>
        <v>low</v>
      </c>
    </row>
    <row r="105" spans="1:19" x14ac:dyDescent="0.25">
      <c r="A105" s="13">
        <v>41818</v>
      </c>
      <c r="B105" s="12">
        <v>28</v>
      </c>
      <c r="C105" s="12" t="s">
        <v>52</v>
      </c>
      <c r="D105" s="12">
        <v>2014</v>
      </c>
      <c r="E105" s="12">
        <v>38</v>
      </c>
      <c r="F105" s="12" t="s">
        <v>27</v>
      </c>
      <c r="G105" s="12" t="s">
        <v>31</v>
      </c>
      <c r="H105" s="12" t="s">
        <v>39</v>
      </c>
      <c r="I105" s="12" t="s">
        <v>42</v>
      </c>
      <c r="J105" s="12" t="s">
        <v>23</v>
      </c>
      <c r="K105" s="12" t="s">
        <v>24</v>
      </c>
      <c r="L105" s="12" t="s">
        <v>25</v>
      </c>
      <c r="M105" s="12">
        <v>10</v>
      </c>
      <c r="N105" s="12">
        <v>45</v>
      </c>
      <c r="O105" s="12">
        <v>120</v>
      </c>
      <c r="P105" s="12">
        <v>726</v>
      </c>
      <c r="Q105" s="12">
        <v>450</v>
      </c>
      <c r="R105" s="12">
        <v>1176</v>
      </c>
      <c r="S105" s="15" t="str">
        <f t="shared" si="1"/>
        <v>medium</v>
      </c>
    </row>
    <row r="106" spans="1:19" x14ac:dyDescent="0.25">
      <c r="A106" s="13">
        <v>42549</v>
      </c>
      <c r="B106" s="12">
        <v>28</v>
      </c>
      <c r="C106" s="12" t="s">
        <v>52</v>
      </c>
      <c r="D106" s="12">
        <v>2016</v>
      </c>
      <c r="E106" s="12">
        <v>38</v>
      </c>
      <c r="F106" s="12" t="s">
        <v>27</v>
      </c>
      <c r="G106" s="12" t="s">
        <v>31</v>
      </c>
      <c r="H106" s="12" t="s">
        <v>39</v>
      </c>
      <c r="I106" s="12" t="s">
        <v>42</v>
      </c>
      <c r="J106" s="12" t="s">
        <v>23</v>
      </c>
      <c r="K106" s="12" t="s">
        <v>24</v>
      </c>
      <c r="L106" s="12" t="s">
        <v>25</v>
      </c>
      <c r="M106" s="12">
        <v>7</v>
      </c>
      <c r="N106" s="12">
        <v>45</v>
      </c>
      <c r="O106" s="12">
        <v>120</v>
      </c>
      <c r="P106" s="12">
        <v>508</v>
      </c>
      <c r="Q106" s="12">
        <v>315</v>
      </c>
      <c r="R106" s="12">
        <v>823</v>
      </c>
      <c r="S106" s="15" t="str">
        <f t="shared" si="1"/>
        <v>medium</v>
      </c>
    </row>
    <row r="107" spans="1:19" x14ac:dyDescent="0.25">
      <c r="A107" s="13">
        <v>41830</v>
      </c>
      <c r="B107" s="12">
        <v>10</v>
      </c>
      <c r="C107" s="12" t="s">
        <v>34</v>
      </c>
      <c r="D107" s="12">
        <v>2014</v>
      </c>
      <c r="E107" s="12">
        <v>38</v>
      </c>
      <c r="F107" s="12" t="s">
        <v>27</v>
      </c>
      <c r="G107" s="12" t="s">
        <v>31</v>
      </c>
      <c r="H107" s="12" t="s">
        <v>39</v>
      </c>
      <c r="I107" s="12" t="s">
        <v>42</v>
      </c>
      <c r="J107" s="12" t="s">
        <v>23</v>
      </c>
      <c r="K107" s="12" t="s">
        <v>24</v>
      </c>
      <c r="L107" s="12" t="s">
        <v>25</v>
      </c>
      <c r="M107" s="12">
        <v>13</v>
      </c>
      <c r="N107" s="12">
        <v>45</v>
      </c>
      <c r="O107" s="12">
        <v>120</v>
      </c>
      <c r="P107" s="12">
        <v>944</v>
      </c>
      <c r="Q107" s="12">
        <v>585</v>
      </c>
      <c r="R107" s="12">
        <v>1529</v>
      </c>
      <c r="S107" s="15" t="str">
        <f t="shared" si="1"/>
        <v>medium</v>
      </c>
    </row>
    <row r="108" spans="1:19" x14ac:dyDescent="0.25">
      <c r="A108" s="13">
        <v>42561</v>
      </c>
      <c r="B108" s="12">
        <v>10</v>
      </c>
      <c r="C108" s="12" t="s">
        <v>34</v>
      </c>
      <c r="D108" s="12">
        <v>2016</v>
      </c>
      <c r="E108" s="12">
        <v>38</v>
      </c>
      <c r="F108" s="12" t="s">
        <v>27</v>
      </c>
      <c r="G108" s="12" t="s">
        <v>31</v>
      </c>
      <c r="H108" s="12" t="s">
        <v>39</v>
      </c>
      <c r="I108" s="12" t="s">
        <v>42</v>
      </c>
      <c r="J108" s="12" t="s">
        <v>23</v>
      </c>
      <c r="K108" s="12" t="s">
        <v>24</v>
      </c>
      <c r="L108" s="12" t="s">
        <v>25</v>
      </c>
      <c r="M108" s="12">
        <v>12</v>
      </c>
      <c r="N108" s="12">
        <v>45</v>
      </c>
      <c r="O108" s="12">
        <v>120</v>
      </c>
      <c r="P108" s="12">
        <v>871</v>
      </c>
      <c r="Q108" s="12">
        <v>540</v>
      </c>
      <c r="R108" s="12">
        <v>1411</v>
      </c>
      <c r="S108" s="15" t="str">
        <f t="shared" si="1"/>
        <v>medium</v>
      </c>
    </row>
    <row r="109" spans="1:19" x14ac:dyDescent="0.25">
      <c r="A109" s="13">
        <v>41710</v>
      </c>
      <c r="B109" s="12">
        <v>12</v>
      </c>
      <c r="C109" s="12" t="s">
        <v>26</v>
      </c>
      <c r="D109" s="12">
        <v>2014</v>
      </c>
      <c r="E109" s="12">
        <v>54</v>
      </c>
      <c r="F109" s="12" t="s">
        <v>27</v>
      </c>
      <c r="G109" s="12" t="s">
        <v>31</v>
      </c>
      <c r="H109" s="12" t="s">
        <v>28</v>
      </c>
      <c r="I109" s="12" t="s">
        <v>48</v>
      </c>
      <c r="J109" s="12" t="s">
        <v>23</v>
      </c>
      <c r="K109" s="12" t="s">
        <v>24</v>
      </c>
      <c r="L109" s="12" t="s">
        <v>25</v>
      </c>
      <c r="M109" s="12">
        <v>7</v>
      </c>
      <c r="N109" s="12">
        <v>45</v>
      </c>
      <c r="O109" s="12">
        <v>120</v>
      </c>
      <c r="P109" s="12">
        <v>391</v>
      </c>
      <c r="Q109" s="12">
        <v>315</v>
      </c>
      <c r="R109" s="12">
        <v>706</v>
      </c>
      <c r="S109" s="15" t="str">
        <f t="shared" si="1"/>
        <v>low</v>
      </c>
    </row>
    <row r="110" spans="1:19" x14ac:dyDescent="0.25">
      <c r="A110" s="13">
        <v>42441</v>
      </c>
      <c r="B110" s="12">
        <v>12</v>
      </c>
      <c r="C110" s="12" t="s">
        <v>26</v>
      </c>
      <c r="D110" s="12">
        <v>2016</v>
      </c>
      <c r="E110" s="12">
        <v>54</v>
      </c>
      <c r="F110" s="12" t="s">
        <v>27</v>
      </c>
      <c r="G110" s="12" t="s">
        <v>31</v>
      </c>
      <c r="H110" s="12" t="s">
        <v>28</v>
      </c>
      <c r="I110" s="12" t="s">
        <v>48</v>
      </c>
      <c r="J110" s="12" t="s">
        <v>23</v>
      </c>
      <c r="K110" s="12" t="s">
        <v>24</v>
      </c>
      <c r="L110" s="12" t="s">
        <v>25</v>
      </c>
      <c r="M110" s="12">
        <v>6</v>
      </c>
      <c r="N110" s="12">
        <v>45</v>
      </c>
      <c r="O110" s="12">
        <v>120</v>
      </c>
      <c r="P110" s="12">
        <v>335</v>
      </c>
      <c r="Q110" s="12">
        <v>270</v>
      </c>
      <c r="R110" s="12">
        <v>605</v>
      </c>
      <c r="S110" s="15" t="str">
        <f t="shared" si="1"/>
        <v>low</v>
      </c>
    </row>
    <row r="111" spans="1:19" x14ac:dyDescent="0.25">
      <c r="A111" s="13">
        <v>41520</v>
      </c>
      <c r="B111" s="12">
        <v>3</v>
      </c>
      <c r="C111" s="12" t="s">
        <v>37</v>
      </c>
      <c r="D111" s="12">
        <v>2013</v>
      </c>
      <c r="E111" s="12">
        <v>51</v>
      </c>
      <c r="F111" s="12" t="s">
        <v>27</v>
      </c>
      <c r="G111" s="12" t="s">
        <v>31</v>
      </c>
      <c r="H111" s="12" t="s">
        <v>39</v>
      </c>
      <c r="I111" s="12" t="s">
        <v>53</v>
      </c>
      <c r="J111" s="12" t="s">
        <v>23</v>
      </c>
      <c r="K111" s="12" t="s">
        <v>24</v>
      </c>
      <c r="L111" s="12" t="s">
        <v>25</v>
      </c>
      <c r="M111" s="12">
        <v>7</v>
      </c>
      <c r="N111" s="12">
        <v>45</v>
      </c>
      <c r="O111" s="12">
        <v>120</v>
      </c>
      <c r="P111" s="12">
        <v>340</v>
      </c>
      <c r="Q111" s="12">
        <v>315</v>
      </c>
      <c r="R111" s="12">
        <v>655</v>
      </c>
      <c r="S111" s="15" t="str">
        <f t="shared" si="1"/>
        <v>low</v>
      </c>
    </row>
    <row r="112" spans="1:19" x14ac:dyDescent="0.25">
      <c r="A112" s="13">
        <v>42250</v>
      </c>
      <c r="B112" s="12">
        <v>3</v>
      </c>
      <c r="C112" s="12" t="s">
        <v>37</v>
      </c>
      <c r="D112" s="12">
        <v>2015</v>
      </c>
      <c r="E112" s="12">
        <v>51</v>
      </c>
      <c r="F112" s="12" t="s">
        <v>27</v>
      </c>
      <c r="G112" s="12" t="s">
        <v>31</v>
      </c>
      <c r="H112" s="12" t="s">
        <v>39</v>
      </c>
      <c r="I112" s="12" t="s">
        <v>53</v>
      </c>
      <c r="J112" s="12" t="s">
        <v>23</v>
      </c>
      <c r="K112" s="12" t="s">
        <v>24</v>
      </c>
      <c r="L112" s="12" t="s">
        <v>25</v>
      </c>
      <c r="M112" s="12">
        <v>9</v>
      </c>
      <c r="N112" s="12">
        <v>45</v>
      </c>
      <c r="O112" s="12">
        <v>120</v>
      </c>
      <c r="P112" s="12">
        <v>437</v>
      </c>
      <c r="Q112" s="12">
        <v>405</v>
      </c>
      <c r="R112" s="12">
        <v>842</v>
      </c>
      <c r="S112" s="15" t="str">
        <f t="shared" si="1"/>
        <v>low</v>
      </c>
    </row>
    <row r="113" spans="1:19" x14ac:dyDescent="0.25">
      <c r="A113" s="13">
        <v>41724</v>
      </c>
      <c r="B113" s="12">
        <v>26</v>
      </c>
      <c r="C113" s="12" t="s">
        <v>26</v>
      </c>
      <c r="D113" s="12">
        <v>2014</v>
      </c>
      <c r="E113" s="12">
        <v>47</v>
      </c>
      <c r="F113" s="12" t="s">
        <v>27</v>
      </c>
      <c r="G113" s="12" t="s">
        <v>31</v>
      </c>
      <c r="H113" s="12" t="s">
        <v>39</v>
      </c>
      <c r="I113" s="12" t="s">
        <v>42</v>
      </c>
      <c r="J113" s="12" t="s">
        <v>23</v>
      </c>
      <c r="K113" s="12" t="s">
        <v>24</v>
      </c>
      <c r="L113" s="12" t="s">
        <v>25</v>
      </c>
      <c r="M113" s="12">
        <v>6</v>
      </c>
      <c r="N113" s="12">
        <v>45</v>
      </c>
      <c r="O113" s="12">
        <v>120</v>
      </c>
      <c r="P113" s="12">
        <v>436</v>
      </c>
      <c r="Q113" s="12">
        <v>270</v>
      </c>
      <c r="R113" s="12">
        <v>706</v>
      </c>
      <c r="S113" s="15" t="str">
        <f t="shared" si="1"/>
        <v>low</v>
      </c>
    </row>
    <row r="114" spans="1:19" x14ac:dyDescent="0.25">
      <c r="A114" s="13">
        <v>42455</v>
      </c>
      <c r="B114" s="12">
        <v>26</v>
      </c>
      <c r="C114" s="12" t="s">
        <v>26</v>
      </c>
      <c r="D114" s="12">
        <v>2016</v>
      </c>
      <c r="E114" s="12">
        <v>47</v>
      </c>
      <c r="F114" s="12" t="s">
        <v>27</v>
      </c>
      <c r="G114" s="12" t="s">
        <v>31</v>
      </c>
      <c r="H114" s="12" t="s">
        <v>39</v>
      </c>
      <c r="I114" s="12" t="s">
        <v>42</v>
      </c>
      <c r="J114" s="12" t="s">
        <v>23</v>
      </c>
      <c r="K114" s="12" t="s">
        <v>24</v>
      </c>
      <c r="L114" s="12" t="s">
        <v>25</v>
      </c>
      <c r="M114" s="12">
        <v>4</v>
      </c>
      <c r="N114" s="12">
        <v>45</v>
      </c>
      <c r="O114" s="12">
        <v>120</v>
      </c>
      <c r="P114" s="12">
        <v>290</v>
      </c>
      <c r="Q114" s="12">
        <v>180</v>
      </c>
      <c r="R114" s="12">
        <v>470</v>
      </c>
      <c r="S114" s="15" t="str">
        <f t="shared" si="1"/>
        <v>low</v>
      </c>
    </row>
    <row r="115" spans="1:19" x14ac:dyDescent="0.25">
      <c r="A115" s="13">
        <v>41763</v>
      </c>
      <c r="B115" s="12">
        <v>4</v>
      </c>
      <c r="C115" s="12" t="s">
        <v>30</v>
      </c>
      <c r="D115" s="12">
        <v>2014</v>
      </c>
      <c r="E115" s="12">
        <v>47</v>
      </c>
      <c r="F115" s="12" t="s">
        <v>27</v>
      </c>
      <c r="G115" s="12" t="s">
        <v>31</v>
      </c>
      <c r="H115" s="12" t="s">
        <v>39</v>
      </c>
      <c r="I115" s="12" t="s">
        <v>42</v>
      </c>
      <c r="J115" s="12" t="s">
        <v>23</v>
      </c>
      <c r="K115" s="12" t="s">
        <v>24</v>
      </c>
      <c r="L115" s="12" t="s">
        <v>25</v>
      </c>
      <c r="M115" s="12">
        <v>17</v>
      </c>
      <c r="N115" s="12">
        <v>45</v>
      </c>
      <c r="O115" s="12">
        <v>120</v>
      </c>
      <c r="P115" s="12">
        <v>1234</v>
      </c>
      <c r="Q115" s="12">
        <v>765</v>
      </c>
      <c r="R115" s="12">
        <v>1999</v>
      </c>
      <c r="S115" s="15" t="str">
        <f t="shared" si="1"/>
        <v>HIGH</v>
      </c>
    </row>
    <row r="116" spans="1:19" x14ac:dyDescent="0.25">
      <c r="A116" s="13">
        <v>42494</v>
      </c>
      <c r="B116" s="12">
        <v>4</v>
      </c>
      <c r="C116" s="12" t="s">
        <v>30</v>
      </c>
      <c r="D116" s="12">
        <v>2016</v>
      </c>
      <c r="E116" s="12">
        <v>47</v>
      </c>
      <c r="F116" s="12" t="s">
        <v>27</v>
      </c>
      <c r="G116" s="12" t="s">
        <v>31</v>
      </c>
      <c r="H116" s="12" t="s">
        <v>39</v>
      </c>
      <c r="I116" s="12" t="s">
        <v>42</v>
      </c>
      <c r="J116" s="12" t="s">
        <v>23</v>
      </c>
      <c r="K116" s="12" t="s">
        <v>24</v>
      </c>
      <c r="L116" s="12" t="s">
        <v>25</v>
      </c>
      <c r="M116" s="12">
        <v>16</v>
      </c>
      <c r="N116" s="12">
        <v>45</v>
      </c>
      <c r="O116" s="12">
        <v>120</v>
      </c>
      <c r="P116" s="12">
        <v>1162</v>
      </c>
      <c r="Q116" s="12">
        <v>720</v>
      </c>
      <c r="R116" s="12">
        <v>1882</v>
      </c>
      <c r="S116" s="15" t="str">
        <f t="shared" si="1"/>
        <v>HIGH</v>
      </c>
    </row>
    <row r="117" spans="1:19" x14ac:dyDescent="0.25">
      <c r="A117" s="13">
        <v>41674</v>
      </c>
      <c r="B117" s="12">
        <v>4</v>
      </c>
      <c r="C117" s="12" t="s">
        <v>33</v>
      </c>
      <c r="D117" s="12">
        <v>2014</v>
      </c>
      <c r="E117" s="12">
        <v>46</v>
      </c>
      <c r="F117" s="12" t="s">
        <v>27</v>
      </c>
      <c r="G117" s="12" t="s">
        <v>20</v>
      </c>
      <c r="H117" s="12" t="s">
        <v>39</v>
      </c>
      <c r="I117" s="12" t="s">
        <v>53</v>
      </c>
      <c r="J117" s="12" t="s">
        <v>23</v>
      </c>
      <c r="K117" s="12" t="s">
        <v>24</v>
      </c>
      <c r="L117" s="12" t="s">
        <v>25</v>
      </c>
      <c r="M117" s="12">
        <v>1</v>
      </c>
      <c r="N117" s="12">
        <v>45</v>
      </c>
      <c r="O117" s="12">
        <v>120</v>
      </c>
      <c r="P117" s="12">
        <v>49</v>
      </c>
      <c r="Q117" s="12">
        <v>45</v>
      </c>
      <c r="R117" s="12">
        <v>94</v>
      </c>
      <c r="S117" s="15" t="str">
        <f t="shared" si="1"/>
        <v>low</v>
      </c>
    </row>
    <row r="118" spans="1:19" x14ac:dyDescent="0.25">
      <c r="A118" s="13">
        <v>42404</v>
      </c>
      <c r="B118" s="12">
        <v>4</v>
      </c>
      <c r="C118" s="12" t="s">
        <v>33</v>
      </c>
      <c r="D118" s="12">
        <v>2016</v>
      </c>
      <c r="E118" s="12">
        <v>46</v>
      </c>
      <c r="F118" s="12" t="s">
        <v>27</v>
      </c>
      <c r="G118" s="12" t="s">
        <v>20</v>
      </c>
      <c r="H118" s="12" t="s">
        <v>39</v>
      </c>
      <c r="I118" s="12" t="s">
        <v>53</v>
      </c>
      <c r="J118" s="12" t="s">
        <v>23</v>
      </c>
      <c r="K118" s="12" t="s">
        <v>24</v>
      </c>
      <c r="L118" s="12" t="s">
        <v>25</v>
      </c>
      <c r="M118" s="12">
        <v>3</v>
      </c>
      <c r="N118" s="12">
        <v>45</v>
      </c>
      <c r="O118" s="12">
        <v>120</v>
      </c>
      <c r="P118" s="12">
        <v>146</v>
      </c>
      <c r="Q118" s="12">
        <v>135</v>
      </c>
      <c r="R118" s="12">
        <v>281</v>
      </c>
      <c r="S118" s="15" t="str">
        <f t="shared" si="1"/>
        <v>low</v>
      </c>
    </row>
    <row r="119" spans="1:19" x14ac:dyDescent="0.25">
      <c r="A119" s="13">
        <v>41584</v>
      </c>
      <c r="B119" s="12">
        <v>6</v>
      </c>
      <c r="C119" s="12" t="s">
        <v>18</v>
      </c>
      <c r="D119" s="12">
        <v>2013</v>
      </c>
      <c r="E119" s="12">
        <v>46</v>
      </c>
      <c r="F119" s="12" t="s">
        <v>27</v>
      </c>
      <c r="G119" s="12" t="s">
        <v>20</v>
      </c>
      <c r="H119" s="12" t="s">
        <v>39</v>
      </c>
      <c r="I119" s="12" t="s">
        <v>42</v>
      </c>
      <c r="J119" s="12" t="s">
        <v>23</v>
      </c>
      <c r="K119" s="12" t="s">
        <v>24</v>
      </c>
      <c r="L119" s="12" t="s">
        <v>25</v>
      </c>
      <c r="M119" s="12">
        <v>5</v>
      </c>
      <c r="N119" s="12">
        <v>45</v>
      </c>
      <c r="O119" s="12">
        <v>120</v>
      </c>
      <c r="P119" s="12">
        <v>363</v>
      </c>
      <c r="Q119" s="12">
        <v>225</v>
      </c>
      <c r="R119" s="12">
        <v>588</v>
      </c>
      <c r="S119" s="15" t="str">
        <f t="shared" si="1"/>
        <v>low</v>
      </c>
    </row>
    <row r="120" spans="1:19" x14ac:dyDescent="0.25">
      <c r="A120" s="13">
        <v>42314</v>
      </c>
      <c r="B120" s="12">
        <v>6</v>
      </c>
      <c r="C120" s="12" t="s">
        <v>18</v>
      </c>
      <c r="D120" s="12">
        <v>2015</v>
      </c>
      <c r="E120" s="12">
        <v>46</v>
      </c>
      <c r="F120" s="12" t="s">
        <v>27</v>
      </c>
      <c r="G120" s="12" t="s">
        <v>20</v>
      </c>
      <c r="H120" s="12" t="s">
        <v>39</v>
      </c>
      <c r="I120" s="12" t="s">
        <v>42</v>
      </c>
      <c r="J120" s="12" t="s">
        <v>23</v>
      </c>
      <c r="K120" s="12" t="s">
        <v>24</v>
      </c>
      <c r="L120" s="12" t="s">
        <v>25</v>
      </c>
      <c r="M120" s="12">
        <v>4</v>
      </c>
      <c r="N120" s="12">
        <v>45</v>
      </c>
      <c r="O120" s="12">
        <v>120</v>
      </c>
      <c r="P120" s="12">
        <v>290</v>
      </c>
      <c r="Q120" s="12">
        <v>180</v>
      </c>
      <c r="R120" s="12">
        <v>470</v>
      </c>
      <c r="S120" s="15" t="str">
        <f t="shared" si="1"/>
        <v>low</v>
      </c>
    </row>
    <row r="121" spans="1:19" x14ac:dyDescent="0.25">
      <c r="A121" s="13">
        <v>41682</v>
      </c>
      <c r="B121" s="12">
        <v>12</v>
      </c>
      <c r="C121" s="12" t="s">
        <v>33</v>
      </c>
      <c r="D121" s="12">
        <v>2014</v>
      </c>
      <c r="E121" s="12">
        <v>46</v>
      </c>
      <c r="F121" s="12" t="s">
        <v>27</v>
      </c>
      <c r="G121" s="12" t="s">
        <v>20</v>
      </c>
      <c r="H121" s="12" t="s">
        <v>39</v>
      </c>
      <c r="I121" s="12" t="s">
        <v>42</v>
      </c>
      <c r="J121" s="12" t="s">
        <v>23</v>
      </c>
      <c r="K121" s="12" t="s">
        <v>24</v>
      </c>
      <c r="L121" s="12" t="s">
        <v>25</v>
      </c>
      <c r="M121" s="12">
        <v>30</v>
      </c>
      <c r="N121" s="12">
        <v>45</v>
      </c>
      <c r="O121" s="12">
        <v>120</v>
      </c>
      <c r="P121" s="12">
        <v>2178</v>
      </c>
      <c r="Q121" s="12">
        <v>1350</v>
      </c>
      <c r="R121" s="12">
        <v>3528</v>
      </c>
      <c r="S121" s="15" t="str">
        <f t="shared" si="1"/>
        <v>HIGH</v>
      </c>
    </row>
    <row r="122" spans="1:19" x14ac:dyDescent="0.25">
      <c r="A122" s="13">
        <v>42412</v>
      </c>
      <c r="B122" s="12">
        <v>12</v>
      </c>
      <c r="C122" s="12" t="s">
        <v>33</v>
      </c>
      <c r="D122" s="12">
        <v>2016</v>
      </c>
      <c r="E122" s="12">
        <v>46</v>
      </c>
      <c r="F122" s="12" t="s">
        <v>27</v>
      </c>
      <c r="G122" s="12" t="s">
        <v>20</v>
      </c>
      <c r="H122" s="12" t="s">
        <v>39</v>
      </c>
      <c r="I122" s="12" t="s">
        <v>42</v>
      </c>
      <c r="J122" s="12" t="s">
        <v>23</v>
      </c>
      <c r="K122" s="12" t="s">
        <v>24</v>
      </c>
      <c r="L122" s="12" t="s">
        <v>25</v>
      </c>
      <c r="M122" s="12">
        <v>27</v>
      </c>
      <c r="N122" s="12">
        <v>45</v>
      </c>
      <c r="O122" s="12">
        <v>120</v>
      </c>
      <c r="P122" s="12">
        <v>1960</v>
      </c>
      <c r="Q122" s="12">
        <v>1215</v>
      </c>
      <c r="R122" s="12">
        <v>3175</v>
      </c>
      <c r="S122" s="15" t="str">
        <f t="shared" si="1"/>
        <v>HIGH</v>
      </c>
    </row>
    <row r="123" spans="1:19" x14ac:dyDescent="0.25">
      <c r="A123" s="13">
        <v>41776</v>
      </c>
      <c r="B123" s="12">
        <v>17</v>
      </c>
      <c r="C123" s="12" t="s">
        <v>30</v>
      </c>
      <c r="D123" s="12">
        <v>2014</v>
      </c>
      <c r="E123" s="12">
        <v>46</v>
      </c>
      <c r="F123" s="12" t="s">
        <v>27</v>
      </c>
      <c r="G123" s="12" t="s">
        <v>20</v>
      </c>
      <c r="H123" s="12" t="s">
        <v>39</v>
      </c>
      <c r="I123" s="12" t="s">
        <v>42</v>
      </c>
      <c r="J123" s="12" t="s">
        <v>23</v>
      </c>
      <c r="K123" s="12" t="s">
        <v>24</v>
      </c>
      <c r="L123" s="12" t="s">
        <v>25</v>
      </c>
      <c r="M123" s="12">
        <v>5</v>
      </c>
      <c r="N123" s="12">
        <v>45</v>
      </c>
      <c r="O123" s="12">
        <v>120</v>
      </c>
      <c r="P123" s="12">
        <v>363</v>
      </c>
      <c r="Q123" s="12">
        <v>225</v>
      </c>
      <c r="R123" s="12">
        <v>588</v>
      </c>
      <c r="S123" s="15" t="str">
        <f t="shared" si="1"/>
        <v>low</v>
      </c>
    </row>
    <row r="124" spans="1:19" x14ac:dyDescent="0.25">
      <c r="A124" s="13">
        <v>41540</v>
      </c>
      <c r="B124" s="12">
        <v>23</v>
      </c>
      <c r="C124" s="12" t="s">
        <v>37</v>
      </c>
      <c r="D124" s="12">
        <v>2013</v>
      </c>
      <c r="E124" s="12">
        <v>41</v>
      </c>
      <c r="F124" s="12" t="s">
        <v>27</v>
      </c>
      <c r="G124" s="12" t="s">
        <v>31</v>
      </c>
      <c r="H124" s="12" t="s">
        <v>43</v>
      </c>
      <c r="I124" s="12" t="s">
        <v>54</v>
      </c>
      <c r="J124" s="12" t="s">
        <v>23</v>
      </c>
      <c r="K124" s="12" t="s">
        <v>24</v>
      </c>
      <c r="L124" s="12" t="s">
        <v>25</v>
      </c>
      <c r="M124" s="12">
        <v>28</v>
      </c>
      <c r="N124" s="12">
        <v>45</v>
      </c>
      <c r="O124" s="12">
        <v>120</v>
      </c>
      <c r="P124" s="12">
        <v>1865</v>
      </c>
      <c r="Q124" s="12">
        <v>1260</v>
      </c>
      <c r="R124" s="12">
        <v>3125</v>
      </c>
      <c r="S124" s="15" t="str">
        <f t="shared" si="1"/>
        <v>HIGH</v>
      </c>
    </row>
    <row r="125" spans="1:19" x14ac:dyDescent="0.25">
      <c r="A125" s="13">
        <v>42270</v>
      </c>
      <c r="B125" s="12">
        <v>23</v>
      </c>
      <c r="C125" s="12" t="s">
        <v>37</v>
      </c>
      <c r="D125" s="12">
        <v>2015</v>
      </c>
      <c r="E125" s="12">
        <v>41</v>
      </c>
      <c r="F125" s="12" t="s">
        <v>27</v>
      </c>
      <c r="G125" s="12" t="s">
        <v>31</v>
      </c>
      <c r="H125" s="12" t="s">
        <v>43</v>
      </c>
      <c r="I125" s="12" t="s">
        <v>54</v>
      </c>
      <c r="J125" s="12" t="s">
        <v>23</v>
      </c>
      <c r="K125" s="12" t="s">
        <v>24</v>
      </c>
      <c r="L125" s="12" t="s">
        <v>25</v>
      </c>
      <c r="M125" s="12">
        <v>29</v>
      </c>
      <c r="N125" s="12">
        <v>45</v>
      </c>
      <c r="O125" s="12">
        <v>120</v>
      </c>
      <c r="P125" s="12">
        <v>1931</v>
      </c>
      <c r="Q125" s="12">
        <v>1305</v>
      </c>
      <c r="R125" s="12">
        <v>3236</v>
      </c>
      <c r="S125" s="15" t="str">
        <f t="shared" si="1"/>
        <v>HIGH</v>
      </c>
    </row>
    <row r="126" spans="1:19" x14ac:dyDescent="0.25">
      <c r="A126" s="13">
        <v>41537</v>
      </c>
      <c r="B126" s="12">
        <v>20</v>
      </c>
      <c r="C126" s="12" t="s">
        <v>37</v>
      </c>
      <c r="D126" s="12">
        <v>2013</v>
      </c>
      <c r="E126" s="12">
        <v>32</v>
      </c>
      <c r="F126" s="12" t="s">
        <v>35</v>
      </c>
      <c r="G126" s="12" t="s">
        <v>20</v>
      </c>
      <c r="H126" s="12" t="s">
        <v>39</v>
      </c>
      <c r="I126" s="12" t="s">
        <v>53</v>
      </c>
      <c r="J126" s="12" t="s">
        <v>23</v>
      </c>
      <c r="K126" s="12" t="s">
        <v>24</v>
      </c>
      <c r="L126" s="12" t="s">
        <v>25</v>
      </c>
      <c r="M126" s="12">
        <v>3</v>
      </c>
      <c r="N126" s="12">
        <v>45</v>
      </c>
      <c r="O126" s="12">
        <v>120</v>
      </c>
      <c r="P126" s="12">
        <v>146</v>
      </c>
      <c r="Q126" s="12">
        <v>135</v>
      </c>
      <c r="R126" s="12">
        <v>281</v>
      </c>
      <c r="S126" s="15" t="str">
        <f t="shared" si="1"/>
        <v>low</v>
      </c>
    </row>
    <row r="127" spans="1:19" x14ac:dyDescent="0.25">
      <c r="A127" s="13">
        <v>42267</v>
      </c>
      <c r="B127" s="12">
        <v>20</v>
      </c>
      <c r="C127" s="12" t="s">
        <v>37</v>
      </c>
      <c r="D127" s="12">
        <v>2015</v>
      </c>
      <c r="E127" s="12">
        <v>32</v>
      </c>
      <c r="F127" s="12" t="s">
        <v>35</v>
      </c>
      <c r="G127" s="12" t="s">
        <v>20</v>
      </c>
      <c r="H127" s="12" t="s">
        <v>39</v>
      </c>
      <c r="I127" s="12" t="s">
        <v>53</v>
      </c>
      <c r="J127" s="12" t="s">
        <v>23</v>
      </c>
      <c r="K127" s="12" t="s">
        <v>24</v>
      </c>
      <c r="L127" s="12" t="s">
        <v>25</v>
      </c>
      <c r="M127" s="12">
        <v>1</v>
      </c>
      <c r="N127" s="12">
        <v>45</v>
      </c>
      <c r="O127" s="12">
        <v>120</v>
      </c>
      <c r="P127" s="12">
        <v>49</v>
      </c>
      <c r="Q127" s="12">
        <v>45</v>
      </c>
      <c r="R127" s="12">
        <v>94</v>
      </c>
      <c r="S127" s="15" t="str">
        <f t="shared" si="1"/>
        <v>low</v>
      </c>
    </row>
    <row r="128" spans="1:19" x14ac:dyDescent="0.25">
      <c r="A128" s="13">
        <v>41572</v>
      </c>
      <c r="B128" s="12">
        <v>25</v>
      </c>
      <c r="C128" s="12" t="s">
        <v>55</v>
      </c>
      <c r="D128" s="12">
        <v>2013</v>
      </c>
      <c r="E128" s="12">
        <v>32</v>
      </c>
      <c r="F128" s="12" t="s">
        <v>35</v>
      </c>
      <c r="G128" s="12" t="s">
        <v>20</v>
      </c>
      <c r="H128" s="12" t="s">
        <v>39</v>
      </c>
      <c r="I128" s="12" t="s">
        <v>42</v>
      </c>
      <c r="J128" s="12" t="s">
        <v>23</v>
      </c>
      <c r="K128" s="12" t="s">
        <v>24</v>
      </c>
      <c r="L128" s="12" t="s">
        <v>25</v>
      </c>
      <c r="M128" s="12">
        <v>8</v>
      </c>
      <c r="N128" s="12">
        <v>45</v>
      </c>
      <c r="O128" s="12">
        <v>120</v>
      </c>
      <c r="P128" s="12">
        <v>581</v>
      </c>
      <c r="Q128" s="12">
        <v>360</v>
      </c>
      <c r="R128" s="12">
        <v>941</v>
      </c>
      <c r="S128" s="15" t="str">
        <f t="shared" si="1"/>
        <v>medium</v>
      </c>
    </row>
  </sheetData>
  <conditionalFormatting pivot="1" sqref="B8">
    <cfRule type="expression" priority="1">
      <formula>"b8&gt;100"</formula>
    </cfRule>
  </conditionalFormatting>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R99"/>
  <sheetViews>
    <sheetView topLeftCell="A25" workbookViewId="0">
      <selection activeCell="T16" sqref="T16"/>
    </sheetView>
  </sheetViews>
  <sheetFormatPr defaultRowHeight="15" x14ac:dyDescent="0.25"/>
  <cols>
    <col min="1" max="1" width="14" customWidth="1"/>
    <col min="2" max="2" width="13.28515625" customWidth="1"/>
    <col min="3" max="3" width="13.140625" customWidth="1"/>
    <col min="4" max="4" width="15.5703125" customWidth="1"/>
    <col min="5" max="5" width="15.42578125" customWidth="1"/>
    <col min="6" max="6" width="14" customWidth="1"/>
    <col min="7" max="7" width="17.42578125" customWidth="1"/>
    <col min="8" max="9" width="13.5703125" customWidth="1"/>
    <col min="10" max="10" width="17.85546875" customWidth="1"/>
    <col min="11" max="11" width="16.28515625" customWidth="1"/>
    <col min="12" max="12" width="12.28515625" customWidth="1"/>
    <col min="13" max="13" width="15.28515625" customWidth="1"/>
    <col min="14" max="14" width="10.42578125" customWidth="1"/>
    <col min="15" max="15" width="13.140625" customWidth="1"/>
    <col min="16" max="16" width="12.7109375" customWidth="1"/>
    <col min="17" max="17" width="10.7109375" customWidth="1"/>
  </cols>
  <sheetData>
    <row r="1" spans="1:18" x14ac:dyDescent="0.25">
      <c r="A1" s="16"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row>
    <row r="2" spans="1:18" x14ac:dyDescent="0.25">
      <c r="A2" s="13">
        <v>41604</v>
      </c>
      <c r="B2" s="12">
        <v>26</v>
      </c>
      <c r="C2" s="12" t="s">
        <v>18</v>
      </c>
      <c r="D2" s="12">
        <v>2013</v>
      </c>
      <c r="E2" s="12">
        <v>19</v>
      </c>
      <c r="F2" s="12" t="s">
        <v>19</v>
      </c>
      <c r="G2" s="12" t="s">
        <v>20</v>
      </c>
      <c r="H2" s="12" t="s">
        <v>21</v>
      </c>
      <c r="I2" s="12" t="s">
        <v>22</v>
      </c>
      <c r="J2" s="12" t="s">
        <v>23</v>
      </c>
      <c r="K2" s="12" t="s">
        <v>24</v>
      </c>
      <c r="L2" s="12" t="s">
        <v>25</v>
      </c>
      <c r="M2" s="12">
        <v>8</v>
      </c>
      <c r="N2" s="12">
        <v>45</v>
      </c>
      <c r="O2" s="12">
        <v>120</v>
      </c>
      <c r="P2" s="12">
        <v>590</v>
      </c>
      <c r="Q2" s="12">
        <v>360</v>
      </c>
      <c r="R2" s="12">
        <v>950</v>
      </c>
    </row>
    <row r="3" spans="1:18" x14ac:dyDescent="0.25">
      <c r="A3" s="13">
        <v>42334</v>
      </c>
      <c r="B3" s="12">
        <v>26</v>
      </c>
      <c r="C3" s="12" t="s">
        <v>18</v>
      </c>
      <c r="D3" s="12">
        <v>2015</v>
      </c>
      <c r="E3" s="12">
        <v>19</v>
      </c>
      <c r="F3" s="12" t="s">
        <v>19</v>
      </c>
      <c r="G3" s="12" t="s">
        <v>20</v>
      </c>
      <c r="H3" s="12" t="s">
        <v>21</v>
      </c>
      <c r="I3" s="12" t="s">
        <v>22</v>
      </c>
      <c r="J3" s="12" t="s">
        <v>23</v>
      </c>
      <c r="K3" s="12" t="s">
        <v>24</v>
      </c>
      <c r="L3" s="12" t="s">
        <v>25</v>
      </c>
      <c r="M3" s="12">
        <v>8</v>
      </c>
      <c r="N3" s="12">
        <v>45</v>
      </c>
      <c r="O3" s="12">
        <v>120</v>
      </c>
      <c r="P3" s="12">
        <v>590</v>
      </c>
      <c r="Q3" s="12">
        <v>360</v>
      </c>
      <c r="R3" s="12">
        <v>950</v>
      </c>
    </row>
    <row r="4" spans="1:18" x14ac:dyDescent="0.25">
      <c r="A4" s="13">
        <v>41721</v>
      </c>
      <c r="B4" s="12">
        <v>23</v>
      </c>
      <c r="C4" s="12" t="s">
        <v>26</v>
      </c>
      <c r="D4" s="12">
        <v>2014</v>
      </c>
      <c r="E4" s="12">
        <v>49</v>
      </c>
      <c r="F4" s="12" t="s">
        <v>27</v>
      </c>
      <c r="G4" s="12" t="s">
        <v>20</v>
      </c>
      <c r="H4" s="12" t="s">
        <v>28</v>
      </c>
      <c r="I4" s="12" t="s">
        <v>29</v>
      </c>
      <c r="J4" s="12" t="s">
        <v>23</v>
      </c>
      <c r="K4" s="12" t="s">
        <v>24</v>
      </c>
      <c r="L4" s="12" t="s">
        <v>25</v>
      </c>
      <c r="M4" s="12">
        <v>23</v>
      </c>
      <c r="N4" s="12">
        <v>45</v>
      </c>
      <c r="O4" s="12">
        <v>120</v>
      </c>
      <c r="P4" s="12">
        <v>1366</v>
      </c>
      <c r="Q4" s="12">
        <v>1035</v>
      </c>
      <c r="R4" s="12">
        <v>2401</v>
      </c>
    </row>
    <row r="5" spans="1:18" x14ac:dyDescent="0.25">
      <c r="A5" s="13">
        <v>42452</v>
      </c>
      <c r="B5" s="12">
        <v>23</v>
      </c>
      <c r="C5" s="12" t="s">
        <v>26</v>
      </c>
      <c r="D5" s="12">
        <v>2016</v>
      </c>
      <c r="E5" s="12">
        <v>49</v>
      </c>
      <c r="F5" s="12" t="s">
        <v>27</v>
      </c>
      <c r="G5" s="12" t="s">
        <v>20</v>
      </c>
      <c r="H5" s="12" t="s">
        <v>28</v>
      </c>
      <c r="I5" s="12" t="s">
        <v>29</v>
      </c>
      <c r="J5" s="12" t="s">
        <v>23</v>
      </c>
      <c r="K5" s="12" t="s">
        <v>24</v>
      </c>
      <c r="L5" s="12" t="s">
        <v>25</v>
      </c>
      <c r="M5" s="12">
        <v>20</v>
      </c>
      <c r="N5" s="12">
        <v>45</v>
      </c>
      <c r="O5" s="12">
        <v>120</v>
      </c>
      <c r="P5" s="12">
        <v>1188</v>
      </c>
      <c r="Q5" s="12">
        <v>900</v>
      </c>
      <c r="R5" s="12">
        <v>2088</v>
      </c>
    </row>
    <row r="6" spans="1:18" x14ac:dyDescent="0.25">
      <c r="A6" s="13">
        <v>41774</v>
      </c>
      <c r="B6" s="12">
        <v>15</v>
      </c>
      <c r="C6" s="12" t="s">
        <v>30</v>
      </c>
      <c r="D6" s="12">
        <v>2014</v>
      </c>
      <c r="E6" s="12">
        <v>47</v>
      </c>
      <c r="F6" s="12" t="s">
        <v>27</v>
      </c>
      <c r="G6" s="12" t="s">
        <v>31</v>
      </c>
      <c r="H6" s="12" t="s">
        <v>28</v>
      </c>
      <c r="I6" s="12" t="s">
        <v>29</v>
      </c>
      <c r="J6" s="12" t="s">
        <v>23</v>
      </c>
      <c r="K6" s="12" t="s">
        <v>24</v>
      </c>
      <c r="L6" s="12" t="s">
        <v>25</v>
      </c>
      <c r="M6" s="12">
        <v>4</v>
      </c>
      <c r="N6" s="12">
        <v>45</v>
      </c>
      <c r="O6" s="12">
        <v>120</v>
      </c>
      <c r="P6" s="12">
        <v>238</v>
      </c>
      <c r="Q6" s="12">
        <v>180</v>
      </c>
      <c r="R6" s="12">
        <v>418</v>
      </c>
    </row>
    <row r="7" spans="1:18" x14ac:dyDescent="0.25">
      <c r="A7" s="13">
        <v>42505</v>
      </c>
      <c r="B7" s="12">
        <v>15</v>
      </c>
      <c r="C7" s="12" t="s">
        <v>30</v>
      </c>
      <c r="D7" s="12">
        <v>2016</v>
      </c>
      <c r="E7" s="12">
        <v>47</v>
      </c>
      <c r="F7" s="12" t="s">
        <v>27</v>
      </c>
      <c r="G7" s="12" t="s">
        <v>31</v>
      </c>
      <c r="H7" s="12" t="s">
        <v>28</v>
      </c>
      <c r="I7" s="12" t="s">
        <v>29</v>
      </c>
      <c r="J7" s="12" t="s">
        <v>23</v>
      </c>
      <c r="K7" s="12" t="s">
        <v>24</v>
      </c>
      <c r="L7" s="12" t="s">
        <v>25</v>
      </c>
      <c r="M7" s="12">
        <v>5</v>
      </c>
      <c r="N7" s="12">
        <v>45</v>
      </c>
      <c r="O7" s="12">
        <v>120</v>
      </c>
      <c r="P7" s="12">
        <v>297</v>
      </c>
      <c r="Q7" s="12">
        <v>225</v>
      </c>
      <c r="R7" s="12">
        <v>522</v>
      </c>
    </row>
    <row r="8" spans="1:18" x14ac:dyDescent="0.25">
      <c r="A8" s="13">
        <v>41781</v>
      </c>
      <c r="B8" s="12">
        <v>22</v>
      </c>
      <c r="C8" s="12" t="s">
        <v>30</v>
      </c>
      <c r="D8" s="12">
        <v>2014</v>
      </c>
      <c r="E8" s="12">
        <v>47</v>
      </c>
      <c r="F8" s="12" t="s">
        <v>27</v>
      </c>
      <c r="G8" s="12" t="s">
        <v>31</v>
      </c>
      <c r="H8" s="12" t="s">
        <v>28</v>
      </c>
      <c r="I8" s="12" t="s">
        <v>32</v>
      </c>
      <c r="J8" s="12" t="s">
        <v>23</v>
      </c>
      <c r="K8" s="12" t="s">
        <v>24</v>
      </c>
      <c r="L8" s="12" t="s">
        <v>25</v>
      </c>
      <c r="M8" s="12">
        <v>4</v>
      </c>
      <c r="N8" s="12">
        <v>45</v>
      </c>
      <c r="O8" s="12">
        <v>120</v>
      </c>
      <c r="P8" s="12">
        <v>199</v>
      </c>
      <c r="Q8" s="12">
        <v>180</v>
      </c>
      <c r="R8" s="12">
        <v>379</v>
      </c>
    </row>
    <row r="9" spans="1:18" x14ac:dyDescent="0.25">
      <c r="A9" s="13">
        <v>42512</v>
      </c>
      <c r="B9" s="12">
        <v>22</v>
      </c>
      <c r="C9" s="12" t="s">
        <v>30</v>
      </c>
      <c r="D9" s="12">
        <v>2016</v>
      </c>
      <c r="E9" s="12">
        <v>47</v>
      </c>
      <c r="F9" s="12" t="s">
        <v>27</v>
      </c>
      <c r="G9" s="12" t="s">
        <v>31</v>
      </c>
      <c r="H9" s="12" t="s">
        <v>28</v>
      </c>
      <c r="I9" s="12" t="s">
        <v>32</v>
      </c>
      <c r="J9" s="12" t="s">
        <v>23</v>
      </c>
      <c r="K9" s="12" t="s">
        <v>24</v>
      </c>
      <c r="L9" s="12" t="s">
        <v>25</v>
      </c>
      <c r="M9" s="12">
        <v>2</v>
      </c>
      <c r="N9" s="12">
        <v>45</v>
      </c>
      <c r="O9" s="12">
        <v>120</v>
      </c>
      <c r="P9" s="12">
        <v>100</v>
      </c>
      <c r="Q9" s="12">
        <v>90</v>
      </c>
      <c r="R9" s="12">
        <v>190</v>
      </c>
    </row>
    <row r="10" spans="1:18" x14ac:dyDescent="0.25">
      <c r="A10" s="13">
        <v>41692</v>
      </c>
      <c r="B10" s="12">
        <v>22</v>
      </c>
      <c r="C10" s="12" t="s">
        <v>33</v>
      </c>
      <c r="D10" s="12">
        <v>2014</v>
      </c>
      <c r="E10" s="12">
        <v>35</v>
      </c>
      <c r="F10" s="12" t="s">
        <v>27</v>
      </c>
      <c r="G10" s="12" t="s">
        <v>20</v>
      </c>
      <c r="H10" s="12" t="s">
        <v>28</v>
      </c>
      <c r="I10" s="12" t="s">
        <v>32</v>
      </c>
      <c r="J10" s="12" t="s">
        <v>23</v>
      </c>
      <c r="K10" s="12" t="s">
        <v>24</v>
      </c>
      <c r="L10" s="12" t="s">
        <v>25</v>
      </c>
      <c r="M10" s="12">
        <v>22</v>
      </c>
      <c r="N10" s="12">
        <v>45</v>
      </c>
      <c r="O10" s="12">
        <v>120</v>
      </c>
      <c r="P10" s="12">
        <v>1096</v>
      </c>
      <c r="Q10" s="12">
        <v>990</v>
      </c>
      <c r="R10" s="12">
        <v>2086</v>
      </c>
    </row>
    <row r="11" spans="1:18" x14ac:dyDescent="0.25">
      <c r="A11" s="13">
        <v>42422</v>
      </c>
      <c r="B11" s="12">
        <v>22</v>
      </c>
      <c r="C11" s="12" t="s">
        <v>33</v>
      </c>
      <c r="D11" s="12">
        <v>2016</v>
      </c>
      <c r="E11" s="12">
        <v>35</v>
      </c>
      <c r="F11" s="12" t="s">
        <v>27</v>
      </c>
      <c r="G11" s="12" t="s">
        <v>20</v>
      </c>
      <c r="H11" s="12" t="s">
        <v>28</v>
      </c>
      <c r="I11" s="12" t="s">
        <v>32</v>
      </c>
      <c r="J11" s="12" t="s">
        <v>23</v>
      </c>
      <c r="K11" s="12" t="s">
        <v>24</v>
      </c>
      <c r="L11" s="12" t="s">
        <v>25</v>
      </c>
      <c r="M11" s="12">
        <v>21</v>
      </c>
      <c r="N11" s="12">
        <v>45</v>
      </c>
      <c r="O11" s="12">
        <v>120</v>
      </c>
      <c r="P11" s="12">
        <v>1046</v>
      </c>
      <c r="Q11" s="12">
        <v>945</v>
      </c>
      <c r="R11" s="12">
        <v>1991</v>
      </c>
    </row>
    <row r="12" spans="1:18" x14ac:dyDescent="0.25">
      <c r="A12" s="13">
        <v>41485</v>
      </c>
      <c r="B12" s="12">
        <v>30</v>
      </c>
      <c r="C12" s="12" t="s">
        <v>34</v>
      </c>
      <c r="D12" s="12">
        <v>2013</v>
      </c>
      <c r="E12" s="12">
        <v>32</v>
      </c>
      <c r="F12" s="12" t="s">
        <v>35</v>
      </c>
      <c r="G12" s="12" t="s">
        <v>31</v>
      </c>
      <c r="H12" s="12" t="s">
        <v>28</v>
      </c>
      <c r="I12" s="12" t="s">
        <v>32</v>
      </c>
      <c r="J12" s="12" t="s">
        <v>23</v>
      </c>
      <c r="K12" s="12" t="s">
        <v>24</v>
      </c>
      <c r="L12" s="12" t="s">
        <v>25</v>
      </c>
      <c r="M12" s="12">
        <v>8</v>
      </c>
      <c r="N12" s="12">
        <v>45</v>
      </c>
      <c r="O12" s="12">
        <v>120</v>
      </c>
      <c r="P12" s="12">
        <v>398</v>
      </c>
      <c r="Q12" s="12">
        <v>360</v>
      </c>
      <c r="R12" s="12">
        <v>758</v>
      </c>
    </row>
    <row r="13" spans="1:18" x14ac:dyDescent="0.25">
      <c r="A13" s="13">
        <v>42215</v>
      </c>
      <c r="B13" s="12">
        <v>30</v>
      </c>
      <c r="C13" s="12" t="s">
        <v>34</v>
      </c>
      <c r="D13" s="12">
        <v>2015</v>
      </c>
      <c r="E13" s="12">
        <v>32</v>
      </c>
      <c r="F13" s="12" t="s">
        <v>35</v>
      </c>
      <c r="G13" s="12" t="s">
        <v>31</v>
      </c>
      <c r="H13" s="12" t="s">
        <v>28</v>
      </c>
      <c r="I13" s="12" t="s">
        <v>32</v>
      </c>
      <c r="J13" s="12" t="s">
        <v>23</v>
      </c>
      <c r="K13" s="12" t="s">
        <v>24</v>
      </c>
      <c r="L13" s="12" t="s">
        <v>25</v>
      </c>
      <c r="M13" s="12">
        <v>8</v>
      </c>
      <c r="N13" s="12">
        <v>45</v>
      </c>
      <c r="O13" s="12">
        <v>120</v>
      </c>
      <c r="P13" s="12">
        <v>398</v>
      </c>
      <c r="Q13" s="12">
        <v>360</v>
      </c>
      <c r="R13" s="12">
        <v>758</v>
      </c>
    </row>
    <row r="14" spans="1:18" x14ac:dyDescent="0.25">
      <c r="A14" s="13">
        <v>41470</v>
      </c>
      <c r="B14" s="12">
        <v>15</v>
      </c>
      <c r="C14" s="12" t="s">
        <v>34</v>
      </c>
      <c r="D14" s="12">
        <v>2013</v>
      </c>
      <c r="E14" s="12">
        <v>34</v>
      </c>
      <c r="F14" s="12" t="s">
        <v>35</v>
      </c>
      <c r="G14" s="12" t="s">
        <v>20</v>
      </c>
      <c r="H14" s="12" t="s">
        <v>28</v>
      </c>
      <c r="I14" s="12" t="s">
        <v>32</v>
      </c>
      <c r="J14" s="12" t="s">
        <v>23</v>
      </c>
      <c r="K14" s="12" t="s">
        <v>24</v>
      </c>
      <c r="L14" s="12" t="s">
        <v>25</v>
      </c>
      <c r="M14" s="12">
        <v>7</v>
      </c>
      <c r="N14" s="12">
        <v>45</v>
      </c>
      <c r="O14" s="12">
        <v>120</v>
      </c>
      <c r="P14" s="12">
        <v>349</v>
      </c>
      <c r="Q14" s="12">
        <v>315</v>
      </c>
      <c r="R14" s="12">
        <v>664</v>
      </c>
    </row>
    <row r="15" spans="1:18" x14ac:dyDescent="0.25">
      <c r="A15" s="13">
        <v>42200</v>
      </c>
      <c r="B15" s="12">
        <v>15</v>
      </c>
      <c r="C15" s="12" t="s">
        <v>34</v>
      </c>
      <c r="D15" s="12">
        <v>2015</v>
      </c>
      <c r="E15" s="12">
        <v>34</v>
      </c>
      <c r="F15" s="12" t="s">
        <v>35</v>
      </c>
      <c r="G15" s="12" t="s">
        <v>20</v>
      </c>
      <c r="H15" s="12" t="s">
        <v>28</v>
      </c>
      <c r="I15" s="12" t="s">
        <v>32</v>
      </c>
      <c r="J15" s="12" t="s">
        <v>23</v>
      </c>
      <c r="K15" s="12" t="s">
        <v>24</v>
      </c>
      <c r="L15" s="12" t="s">
        <v>25</v>
      </c>
      <c r="M15" s="12">
        <v>7</v>
      </c>
      <c r="N15" s="12">
        <v>45</v>
      </c>
      <c r="O15" s="12">
        <v>120</v>
      </c>
      <c r="P15" s="12">
        <v>349</v>
      </c>
      <c r="Q15" s="12">
        <v>315</v>
      </c>
      <c r="R15" s="12">
        <v>664</v>
      </c>
    </row>
    <row r="16" spans="1:18" x14ac:dyDescent="0.25">
      <c r="A16" s="13">
        <v>41488</v>
      </c>
      <c r="B16" s="12">
        <v>2</v>
      </c>
      <c r="C16" s="12" t="s">
        <v>36</v>
      </c>
      <c r="D16" s="12">
        <v>2013</v>
      </c>
      <c r="E16" s="12">
        <v>29</v>
      </c>
      <c r="F16" s="12" t="s">
        <v>35</v>
      </c>
      <c r="G16" s="12" t="s">
        <v>20</v>
      </c>
      <c r="H16" s="12" t="s">
        <v>21</v>
      </c>
      <c r="I16" s="12" t="s">
        <v>22</v>
      </c>
      <c r="J16" s="12" t="s">
        <v>23</v>
      </c>
      <c r="K16" s="12" t="s">
        <v>24</v>
      </c>
      <c r="L16" s="12" t="s">
        <v>25</v>
      </c>
      <c r="M16" s="12">
        <v>5</v>
      </c>
      <c r="N16" s="12">
        <v>45</v>
      </c>
      <c r="O16" s="12">
        <v>120</v>
      </c>
      <c r="P16" s="12">
        <v>369</v>
      </c>
      <c r="Q16" s="12">
        <v>225</v>
      </c>
      <c r="R16" s="12">
        <v>594</v>
      </c>
    </row>
    <row r="17" spans="1:18" x14ac:dyDescent="0.25">
      <c r="A17" s="13">
        <v>42218</v>
      </c>
      <c r="B17" s="12">
        <v>2</v>
      </c>
      <c r="C17" s="12" t="s">
        <v>36</v>
      </c>
      <c r="D17" s="12">
        <v>2015</v>
      </c>
      <c r="E17" s="12">
        <v>29</v>
      </c>
      <c r="F17" s="12" t="s">
        <v>35</v>
      </c>
      <c r="G17" s="12" t="s">
        <v>20</v>
      </c>
      <c r="H17" s="12" t="s">
        <v>21</v>
      </c>
      <c r="I17" s="12" t="s">
        <v>22</v>
      </c>
      <c r="J17" s="12" t="s">
        <v>23</v>
      </c>
      <c r="K17" s="12" t="s">
        <v>24</v>
      </c>
      <c r="L17" s="12" t="s">
        <v>25</v>
      </c>
      <c r="M17" s="12">
        <v>7</v>
      </c>
      <c r="N17" s="12">
        <v>45</v>
      </c>
      <c r="O17" s="12">
        <v>120</v>
      </c>
      <c r="P17" s="12">
        <v>517</v>
      </c>
      <c r="Q17" s="12">
        <v>315</v>
      </c>
      <c r="R17" s="12">
        <v>832</v>
      </c>
    </row>
    <row r="18" spans="1:18" x14ac:dyDescent="0.25">
      <c r="A18" s="13">
        <v>41519</v>
      </c>
      <c r="B18" s="12">
        <v>2</v>
      </c>
      <c r="C18" s="12" t="s">
        <v>37</v>
      </c>
      <c r="D18" s="12">
        <v>2013</v>
      </c>
      <c r="E18" s="12">
        <v>29</v>
      </c>
      <c r="F18" s="12" t="s">
        <v>35</v>
      </c>
      <c r="G18" s="12" t="s">
        <v>20</v>
      </c>
      <c r="H18" s="12" t="s">
        <v>21</v>
      </c>
      <c r="I18" s="12" t="s">
        <v>22</v>
      </c>
      <c r="J18" s="12" t="s">
        <v>23</v>
      </c>
      <c r="K18" s="12" t="s">
        <v>24</v>
      </c>
      <c r="L18" s="12" t="s">
        <v>25</v>
      </c>
      <c r="M18" s="12">
        <v>2</v>
      </c>
      <c r="N18" s="12">
        <v>45</v>
      </c>
      <c r="O18" s="12">
        <v>120</v>
      </c>
      <c r="P18" s="12">
        <v>148</v>
      </c>
      <c r="Q18" s="12">
        <v>90</v>
      </c>
      <c r="R18" s="12">
        <v>238</v>
      </c>
    </row>
    <row r="19" spans="1:18" x14ac:dyDescent="0.25">
      <c r="A19" s="13">
        <v>42249</v>
      </c>
      <c r="B19" s="12">
        <v>2</v>
      </c>
      <c r="C19" s="12" t="s">
        <v>37</v>
      </c>
      <c r="D19" s="12">
        <v>2015</v>
      </c>
      <c r="E19" s="12">
        <v>29</v>
      </c>
      <c r="F19" s="12" t="s">
        <v>35</v>
      </c>
      <c r="G19" s="12" t="s">
        <v>20</v>
      </c>
      <c r="H19" s="12" t="s">
        <v>21</v>
      </c>
      <c r="I19" s="12" t="s">
        <v>22</v>
      </c>
      <c r="J19" s="12" t="s">
        <v>23</v>
      </c>
      <c r="K19" s="12" t="s">
        <v>24</v>
      </c>
      <c r="L19" s="12" t="s">
        <v>25</v>
      </c>
      <c r="M19" s="12">
        <v>1</v>
      </c>
      <c r="N19" s="12">
        <v>45</v>
      </c>
      <c r="O19" s="12">
        <v>120</v>
      </c>
      <c r="P19" s="12">
        <v>74</v>
      </c>
      <c r="Q19" s="12">
        <v>45</v>
      </c>
      <c r="R19" s="12">
        <v>119</v>
      </c>
    </row>
    <row r="20" spans="1:18" x14ac:dyDescent="0.25">
      <c r="A20" s="13">
        <v>41661</v>
      </c>
      <c r="B20" s="12">
        <v>22</v>
      </c>
      <c r="C20" s="12" t="s">
        <v>38</v>
      </c>
      <c r="D20" s="12">
        <v>2014</v>
      </c>
      <c r="E20" s="12">
        <v>29</v>
      </c>
      <c r="F20" s="12" t="s">
        <v>35</v>
      </c>
      <c r="G20" s="12" t="s">
        <v>20</v>
      </c>
      <c r="H20" s="12" t="s">
        <v>21</v>
      </c>
      <c r="I20" s="12" t="s">
        <v>22</v>
      </c>
      <c r="J20" s="12" t="s">
        <v>23</v>
      </c>
      <c r="K20" s="12" t="s">
        <v>24</v>
      </c>
      <c r="L20" s="12" t="s">
        <v>25</v>
      </c>
      <c r="M20" s="12">
        <v>1</v>
      </c>
      <c r="N20" s="12">
        <v>45</v>
      </c>
      <c r="O20" s="12">
        <v>120</v>
      </c>
      <c r="P20" s="12">
        <v>74</v>
      </c>
      <c r="Q20" s="12">
        <v>45</v>
      </c>
      <c r="R20" s="12">
        <v>119</v>
      </c>
    </row>
    <row r="21" spans="1:18" x14ac:dyDescent="0.25">
      <c r="A21" s="13">
        <v>42391</v>
      </c>
      <c r="B21" s="12">
        <v>22</v>
      </c>
      <c r="C21" s="12" t="s">
        <v>38</v>
      </c>
      <c r="D21" s="12">
        <v>2016</v>
      </c>
      <c r="E21" s="12">
        <v>29</v>
      </c>
      <c r="F21" s="12" t="s">
        <v>35</v>
      </c>
      <c r="G21" s="12" t="s">
        <v>20</v>
      </c>
      <c r="H21" s="12" t="s">
        <v>21</v>
      </c>
      <c r="I21" s="12" t="s">
        <v>22</v>
      </c>
      <c r="J21" s="12" t="s">
        <v>23</v>
      </c>
      <c r="K21" s="12" t="s">
        <v>24</v>
      </c>
      <c r="L21" s="12" t="s">
        <v>25</v>
      </c>
      <c r="M21" s="12">
        <v>1</v>
      </c>
      <c r="N21" s="12">
        <v>45</v>
      </c>
      <c r="O21" s="12">
        <v>120</v>
      </c>
      <c r="P21" s="12">
        <v>74</v>
      </c>
      <c r="Q21" s="12">
        <v>45</v>
      </c>
      <c r="R21" s="12">
        <v>119</v>
      </c>
    </row>
    <row r="22" spans="1:18" x14ac:dyDescent="0.25">
      <c r="A22" s="13">
        <v>41776</v>
      </c>
      <c r="B22" s="12">
        <v>17</v>
      </c>
      <c r="C22" s="12" t="s">
        <v>30</v>
      </c>
      <c r="D22" s="12">
        <v>2014</v>
      </c>
      <c r="E22" s="12">
        <v>45</v>
      </c>
      <c r="F22" s="12" t="s">
        <v>35</v>
      </c>
      <c r="G22" s="12" t="s">
        <v>20</v>
      </c>
      <c r="H22" s="12" t="s">
        <v>21</v>
      </c>
      <c r="I22" s="12" t="s">
        <v>22</v>
      </c>
      <c r="J22" s="12" t="s">
        <v>23</v>
      </c>
      <c r="K22" s="12" t="s">
        <v>24</v>
      </c>
      <c r="L22" s="12" t="s">
        <v>25</v>
      </c>
      <c r="M22" s="12">
        <v>6</v>
      </c>
      <c r="N22" s="12">
        <v>45</v>
      </c>
      <c r="O22" s="12">
        <v>120</v>
      </c>
      <c r="P22" s="12">
        <v>443</v>
      </c>
      <c r="Q22" s="12">
        <v>270</v>
      </c>
      <c r="R22" s="12">
        <v>713</v>
      </c>
    </row>
    <row r="23" spans="1:18" x14ac:dyDescent="0.25">
      <c r="A23" s="13">
        <v>42507</v>
      </c>
      <c r="B23" s="12">
        <v>17</v>
      </c>
      <c r="C23" s="12" t="s">
        <v>30</v>
      </c>
      <c r="D23" s="12">
        <v>2016</v>
      </c>
      <c r="E23" s="12">
        <v>29</v>
      </c>
      <c r="F23" s="12" t="s">
        <v>35</v>
      </c>
      <c r="G23" s="12" t="s">
        <v>20</v>
      </c>
      <c r="H23" s="12" t="s">
        <v>21</v>
      </c>
      <c r="I23" s="12" t="s">
        <v>22</v>
      </c>
      <c r="J23" s="12" t="s">
        <v>23</v>
      </c>
      <c r="K23" s="12" t="s">
        <v>24</v>
      </c>
      <c r="L23" s="12" t="s">
        <v>25</v>
      </c>
      <c r="M23" s="12">
        <v>8</v>
      </c>
      <c r="N23" s="12">
        <v>45</v>
      </c>
      <c r="O23" s="12">
        <v>120</v>
      </c>
      <c r="P23" s="12">
        <v>590</v>
      </c>
      <c r="Q23" s="12">
        <v>360</v>
      </c>
      <c r="R23" s="12">
        <v>950</v>
      </c>
    </row>
    <row r="24" spans="1:18" x14ac:dyDescent="0.25">
      <c r="A24" s="13">
        <v>41725</v>
      </c>
      <c r="B24" s="12">
        <v>27</v>
      </c>
      <c r="C24" s="12" t="s">
        <v>26</v>
      </c>
      <c r="D24" s="12">
        <v>2014</v>
      </c>
      <c r="E24" s="12">
        <v>51</v>
      </c>
      <c r="F24" s="12" t="s">
        <v>27</v>
      </c>
      <c r="G24" s="12" t="s">
        <v>20</v>
      </c>
      <c r="H24" s="12" t="s">
        <v>39</v>
      </c>
      <c r="I24" s="12" t="s">
        <v>40</v>
      </c>
      <c r="J24" s="12" t="s">
        <v>23</v>
      </c>
      <c r="K24" s="12" t="s">
        <v>24</v>
      </c>
      <c r="L24" s="12" t="s">
        <v>25</v>
      </c>
      <c r="M24" s="12">
        <v>9</v>
      </c>
      <c r="N24" s="12">
        <v>45</v>
      </c>
      <c r="O24" s="12">
        <v>120</v>
      </c>
      <c r="P24" s="12">
        <v>524</v>
      </c>
      <c r="Q24" s="12">
        <v>405</v>
      </c>
      <c r="R24" s="12">
        <v>929</v>
      </c>
    </row>
    <row r="25" spans="1:18" x14ac:dyDescent="0.25">
      <c r="A25" s="13">
        <v>42456</v>
      </c>
      <c r="B25" s="12">
        <v>27</v>
      </c>
      <c r="C25" s="12" t="s">
        <v>26</v>
      </c>
      <c r="D25" s="12">
        <v>2016</v>
      </c>
      <c r="E25" s="12">
        <v>51</v>
      </c>
      <c r="F25" s="12" t="s">
        <v>27</v>
      </c>
      <c r="G25" s="12" t="s">
        <v>20</v>
      </c>
      <c r="H25" s="12" t="s">
        <v>39</v>
      </c>
      <c r="I25" s="12" t="s">
        <v>40</v>
      </c>
      <c r="J25" s="12" t="s">
        <v>23</v>
      </c>
      <c r="K25" s="12" t="s">
        <v>24</v>
      </c>
      <c r="L25" s="12" t="s">
        <v>25</v>
      </c>
      <c r="M25" s="12">
        <v>7</v>
      </c>
      <c r="N25" s="12">
        <v>45</v>
      </c>
      <c r="O25" s="12">
        <v>120</v>
      </c>
      <c r="P25" s="12">
        <v>407</v>
      </c>
      <c r="Q25" s="12">
        <v>315</v>
      </c>
      <c r="R25" s="12">
        <v>722</v>
      </c>
    </row>
    <row r="26" spans="1:18" x14ac:dyDescent="0.25">
      <c r="A26" s="13">
        <v>41511</v>
      </c>
      <c r="B26" s="12">
        <v>25</v>
      </c>
      <c r="C26" s="12" t="s">
        <v>36</v>
      </c>
      <c r="D26" s="12">
        <v>2013</v>
      </c>
      <c r="E26" s="12">
        <v>49</v>
      </c>
      <c r="F26" s="12" t="s">
        <v>27</v>
      </c>
      <c r="G26" s="12" t="s">
        <v>20</v>
      </c>
      <c r="H26" s="12" t="s">
        <v>21</v>
      </c>
      <c r="I26" s="12" t="s">
        <v>22</v>
      </c>
      <c r="J26" s="12" t="s">
        <v>23</v>
      </c>
      <c r="K26" s="12" t="s">
        <v>24</v>
      </c>
      <c r="L26" s="12" t="s">
        <v>25</v>
      </c>
      <c r="M26" s="12">
        <v>3</v>
      </c>
      <c r="N26" s="12">
        <v>45</v>
      </c>
      <c r="O26" s="12">
        <v>120</v>
      </c>
      <c r="P26" s="12">
        <v>221</v>
      </c>
      <c r="Q26" s="12">
        <v>135</v>
      </c>
      <c r="R26" s="12">
        <v>356</v>
      </c>
    </row>
    <row r="27" spans="1:18" x14ac:dyDescent="0.25">
      <c r="A27" s="13">
        <v>42241</v>
      </c>
      <c r="B27" s="12">
        <v>25</v>
      </c>
      <c r="C27" s="12" t="s">
        <v>36</v>
      </c>
      <c r="D27" s="12">
        <v>2015</v>
      </c>
      <c r="E27" s="12">
        <v>49</v>
      </c>
      <c r="F27" s="12" t="s">
        <v>27</v>
      </c>
      <c r="G27" s="12" t="s">
        <v>20</v>
      </c>
      <c r="H27" s="12" t="s">
        <v>21</v>
      </c>
      <c r="I27" s="12" t="s">
        <v>22</v>
      </c>
      <c r="J27" s="12" t="s">
        <v>23</v>
      </c>
      <c r="K27" s="12" t="s">
        <v>24</v>
      </c>
      <c r="L27" s="12" t="s">
        <v>25</v>
      </c>
      <c r="M27" s="12">
        <v>1</v>
      </c>
      <c r="N27" s="12">
        <v>45</v>
      </c>
      <c r="O27" s="12">
        <v>120</v>
      </c>
      <c r="P27" s="12">
        <v>74</v>
      </c>
      <c r="Q27" s="12">
        <v>45</v>
      </c>
      <c r="R27" s="12">
        <v>119</v>
      </c>
    </row>
    <row r="28" spans="1:18" x14ac:dyDescent="0.25">
      <c r="A28" s="13">
        <v>41634</v>
      </c>
      <c r="B28" s="12">
        <v>26</v>
      </c>
      <c r="C28" s="12" t="s">
        <v>41</v>
      </c>
      <c r="D28" s="12">
        <v>2013</v>
      </c>
      <c r="E28" s="12">
        <v>56</v>
      </c>
      <c r="F28" s="12" t="s">
        <v>27</v>
      </c>
      <c r="G28" s="12" t="s">
        <v>20</v>
      </c>
      <c r="H28" s="12" t="s">
        <v>21</v>
      </c>
      <c r="I28" s="12" t="s">
        <v>22</v>
      </c>
      <c r="J28" s="12" t="s">
        <v>23</v>
      </c>
      <c r="K28" s="12" t="s">
        <v>24</v>
      </c>
      <c r="L28" s="12" t="s">
        <v>25</v>
      </c>
      <c r="M28" s="12">
        <v>6</v>
      </c>
      <c r="N28" s="12">
        <v>45</v>
      </c>
      <c r="O28" s="12">
        <v>120</v>
      </c>
      <c r="P28" s="12">
        <v>443</v>
      </c>
      <c r="Q28" s="12">
        <v>270</v>
      </c>
      <c r="R28" s="12">
        <v>713</v>
      </c>
    </row>
    <row r="29" spans="1:18" x14ac:dyDescent="0.25">
      <c r="A29" s="13">
        <v>42364</v>
      </c>
      <c r="B29" s="12">
        <v>26</v>
      </c>
      <c r="C29" s="12" t="s">
        <v>41</v>
      </c>
      <c r="D29" s="12">
        <v>2015</v>
      </c>
      <c r="E29" s="12">
        <v>49</v>
      </c>
      <c r="F29" s="12" t="s">
        <v>27</v>
      </c>
      <c r="G29" s="12" t="s">
        <v>20</v>
      </c>
      <c r="H29" s="12" t="s">
        <v>21</v>
      </c>
      <c r="I29" s="12" t="s">
        <v>22</v>
      </c>
      <c r="J29" s="12" t="s">
        <v>23</v>
      </c>
      <c r="K29" s="12" t="s">
        <v>24</v>
      </c>
      <c r="L29" s="12" t="s">
        <v>25</v>
      </c>
      <c r="M29" s="12">
        <v>5</v>
      </c>
      <c r="N29" s="12">
        <v>45</v>
      </c>
      <c r="O29" s="12">
        <v>120</v>
      </c>
      <c r="P29" s="12">
        <v>369</v>
      </c>
      <c r="Q29" s="12">
        <v>225</v>
      </c>
      <c r="R29" s="12">
        <v>594</v>
      </c>
    </row>
    <row r="30" spans="1:18" x14ac:dyDescent="0.25">
      <c r="A30" s="13">
        <v>41641</v>
      </c>
      <c r="B30" s="12">
        <v>2</v>
      </c>
      <c r="C30" s="12" t="s">
        <v>38</v>
      </c>
      <c r="D30" s="12">
        <v>2014</v>
      </c>
      <c r="E30" s="12">
        <v>48</v>
      </c>
      <c r="F30" s="12" t="s">
        <v>27</v>
      </c>
      <c r="G30" s="12" t="s">
        <v>31</v>
      </c>
      <c r="H30" s="12" t="s">
        <v>21</v>
      </c>
      <c r="I30" s="12" t="s">
        <v>22</v>
      </c>
      <c r="J30" s="12" t="s">
        <v>23</v>
      </c>
      <c r="K30" s="12" t="s">
        <v>24</v>
      </c>
      <c r="L30" s="12" t="s">
        <v>25</v>
      </c>
      <c r="M30" s="12">
        <v>4</v>
      </c>
      <c r="N30" s="12">
        <v>45</v>
      </c>
      <c r="O30" s="12">
        <v>120</v>
      </c>
      <c r="P30" s="12">
        <v>295</v>
      </c>
      <c r="Q30" s="12">
        <v>180</v>
      </c>
      <c r="R30" s="12">
        <v>475</v>
      </c>
    </row>
    <row r="31" spans="1:18" x14ac:dyDescent="0.25">
      <c r="A31" s="13">
        <v>42371</v>
      </c>
      <c r="B31" s="12">
        <v>2</v>
      </c>
      <c r="C31" s="12" t="s">
        <v>38</v>
      </c>
      <c r="D31" s="12">
        <v>2016</v>
      </c>
      <c r="E31" s="12">
        <v>48</v>
      </c>
      <c r="F31" s="12" t="s">
        <v>27</v>
      </c>
      <c r="G31" s="12" t="s">
        <v>31</v>
      </c>
      <c r="H31" s="12" t="s">
        <v>21</v>
      </c>
      <c r="I31" s="12" t="s">
        <v>22</v>
      </c>
      <c r="J31" s="12" t="s">
        <v>23</v>
      </c>
      <c r="K31" s="12" t="s">
        <v>24</v>
      </c>
      <c r="L31" s="12" t="s">
        <v>25</v>
      </c>
      <c r="M31" s="12">
        <v>4</v>
      </c>
      <c r="N31" s="12">
        <v>45</v>
      </c>
      <c r="O31" s="12">
        <v>120</v>
      </c>
      <c r="P31" s="12">
        <v>295</v>
      </c>
      <c r="Q31" s="12">
        <v>180</v>
      </c>
      <c r="R31" s="12">
        <v>475</v>
      </c>
    </row>
    <row r="32" spans="1:18" x14ac:dyDescent="0.25">
      <c r="A32" s="13">
        <v>41711</v>
      </c>
      <c r="B32" s="12">
        <v>13</v>
      </c>
      <c r="C32" s="12" t="s">
        <v>26</v>
      </c>
      <c r="D32" s="12">
        <v>2014</v>
      </c>
      <c r="E32" s="12">
        <v>48</v>
      </c>
      <c r="F32" s="12" t="s">
        <v>27</v>
      </c>
      <c r="G32" s="12" t="s">
        <v>31</v>
      </c>
      <c r="H32" s="12" t="s">
        <v>21</v>
      </c>
      <c r="I32" s="12" t="s">
        <v>22</v>
      </c>
      <c r="J32" s="12" t="s">
        <v>23</v>
      </c>
      <c r="K32" s="12" t="s">
        <v>24</v>
      </c>
      <c r="L32" s="12" t="s">
        <v>25</v>
      </c>
      <c r="M32" s="12">
        <v>20</v>
      </c>
      <c r="N32" s="12">
        <v>45</v>
      </c>
      <c r="O32" s="12">
        <v>120</v>
      </c>
      <c r="P32" s="12">
        <v>1476</v>
      </c>
      <c r="Q32" s="12">
        <v>900</v>
      </c>
      <c r="R32" s="12">
        <v>2376</v>
      </c>
    </row>
    <row r="33" spans="1:18" x14ac:dyDescent="0.25">
      <c r="A33" s="13">
        <v>42442</v>
      </c>
      <c r="B33" s="12">
        <v>13</v>
      </c>
      <c r="C33" s="12" t="s">
        <v>26</v>
      </c>
      <c r="D33" s="12">
        <v>2016</v>
      </c>
      <c r="E33" s="12">
        <v>48</v>
      </c>
      <c r="F33" s="12" t="s">
        <v>27</v>
      </c>
      <c r="G33" s="12" t="s">
        <v>31</v>
      </c>
      <c r="H33" s="12" t="s">
        <v>21</v>
      </c>
      <c r="I33" s="12" t="s">
        <v>22</v>
      </c>
      <c r="J33" s="12" t="s">
        <v>23</v>
      </c>
      <c r="K33" s="12" t="s">
        <v>24</v>
      </c>
      <c r="L33" s="12" t="s">
        <v>25</v>
      </c>
      <c r="M33" s="12">
        <v>22</v>
      </c>
      <c r="N33" s="12">
        <v>45</v>
      </c>
      <c r="O33" s="12">
        <v>120</v>
      </c>
      <c r="P33" s="12">
        <v>1624</v>
      </c>
      <c r="Q33" s="12">
        <v>990</v>
      </c>
      <c r="R33" s="12">
        <v>2614</v>
      </c>
    </row>
    <row r="34" spans="1:18" x14ac:dyDescent="0.25">
      <c r="A34" s="13">
        <v>41782</v>
      </c>
      <c r="B34" s="12">
        <v>23</v>
      </c>
      <c r="C34" s="12" t="s">
        <v>30</v>
      </c>
      <c r="D34" s="12">
        <v>2014</v>
      </c>
      <c r="E34" s="12">
        <v>47</v>
      </c>
      <c r="F34" s="12" t="s">
        <v>27</v>
      </c>
      <c r="G34" s="12" t="s">
        <v>31</v>
      </c>
      <c r="H34" s="12" t="s">
        <v>21</v>
      </c>
      <c r="I34" s="12" t="s">
        <v>22</v>
      </c>
      <c r="J34" s="12" t="s">
        <v>23</v>
      </c>
      <c r="K34" s="12" t="s">
        <v>24</v>
      </c>
      <c r="L34" s="12" t="s">
        <v>25</v>
      </c>
      <c r="M34" s="12">
        <v>24</v>
      </c>
      <c r="N34" s="12">
        <v>45</v>
      </c>
      <c r="O34" s="12">
        <v>120</v>
      </c>
      <c r="P34" s="12">
        <v>1771</v>
      </c>
      <c r="Q34" s="12">
        <v>1080</v>
      </c>
      <c r="R34" s="12">
        <v>2851</v>
      </c>
    </row>
    <row r="35" spans="1:18" x14ac:dyDescent="0.25">
      <c r="A35" s="13">
        <v>42513</v>
      </c>
      <c r="B35" s="12">
        <v>23</v>
      </c>
      <c r="C35" s="12" t="s">
        <v>30</v>
      </c>
      <c r="D35" s="12">
        <v>2016</v>
      </c>
      <c r="E35" s="12">
        <v>47</v>
      </c>
      <c r="F35" s="12" t="s">
        <v>27</v>
      </c>
      <c r="G35" s="12" t="s">
        <v>31</v>
      </c>
      <c r="H35" s="12" t="s">
        <v>21</v>
      </c>
      <c r="I35" s="12" t="s">
        <v>22</v>
      </c>
      <c r="J35" s="12" t="s">
        <v>23</v>
      </c>
      <c r="K35" s="12" t="s">
        <v>24</v>
      </c>
      <c r="L35" s="12" t="s">
        <v>25</v>
      </c>
      <c r="M35" s="12">
        <v>23</v>
      </c>
      <c r="N35" s="12">
        <v>45</v>
      </c>
      <c r="O35" s="12">
        <v>120</v>
      </c>
      <c r="P35" s="12">
        <v>1697</v>
      </c>
      <c r="Q35" s="12">
        <v>1035</v>
      </c>
      <c r="R35" s="12">
        <v>2732</v>
      </c>
    </row>
    <row r="36" spans="1:18" x14ac:dyDescent="0.25">
      <c r="A36" s="13">
        <v>41474</v>
      </c>
      <c r="B36" s="12">
        <v>19</v>
      </c>
      <c r="C36" s="12" t="s">
        <v>34</v>
      </c>
      <c r="D36" s="12">
        <v>2013</v>
      </c>
      <c r="E36" s="12">
        <v>32</v>
      </c>
      <c r="F36" s="12" t="s">
        <v>35</v>
      </c>
      <c r="G36" s="12" t="s">
        <v>31</v>
      </c>
      <c r="H36" s="12" t="s">
        <v>39</v>
      </c>
      <c r="I36" s="12" t="s">
        <v>40</v>
      </c>
      <c r="J36" s="12" t="s">
        <v>23</v>
      </c>
      <c r="K36" s="12" t="s">
        <v>24</v>
      </c>
      <c r="L36" s="12" t="s">
        <v>25</v>
      </c>
      <c r="M36" s="12">
        <v>9</v>
      </c>
      <c r="N36" s="12">
        <v>45</v>
      </c>
      <c r="O36" s="12">
        <v>120</v>
      </c>
      <c r="P36" s="12">
        <v>524</v>
      </c>
      <c r="Q36" s="12">
        <v>405</v>
      </c>
      <c r="R36" s="12">
        <v>929</v>
      </c>
    </row>
    <row r="37" spans="1:18" x14ac:dyDescent="0.25">
      <c r="A37" s="13">
        <v>42204</v>
      </c>
      <c r="B37" s="12">
        <v>19</v>
      </c>
      <c r="C37" s="12" t="s">
        <v>34</v>
      </c>
      <c r="D37" s="12">
        <v>2015</v>
      </c>
      <c r="E37" s="12">
        <v>32</v>
      </c>
      <c r="F37" s="12" t="s">
        <v>35</v>
      </c>
      <c r="G37" s="12" t="s">
        <v>31</v>
      </c>
      <c r="H37" s="12" t="s">
        <v>39</v>
      </c>
      <c r="I37" s="12" t="s">
        <v>40</v>
      </c>
      <c r="J37" s="12" t="s">
        <v>23</v>
      </c>
      <c r="K37" s="12" t="s">
        <v>24</v>
      </c>
      <c r="L37" s="12" t="s">
        <v>25</v>
      </c>
      <c r="M37" s="12">
        <v>9</v>
      </c>
      <c r="N37" s="12">
        <v>45</v>
      </c>
      <c r="O37" s="12">
        <v>120</v>
      </c>
      <c r="P37" s="12">
        <v>524</v>
      </c>
      <c r="Q37" s="12">
        <v>405</v>
      </c>
      <c r="R37" s="12">
        <v>929</v>
      </c>
    </row>
    <row r="38" spans="1:18" x14ac:dyDescent="0.25">
      <c r="A38" s="13">
        <v>41589</v>
      </c>
      <c r="B38" s="12">
        <v>11</v>
      </c>
      <c r="C38" s="12" t="s">
        <v>18</v>
      </c>
      <c r="D38" s="12">
        <v>2013</v>
      </c>
      <c r="E38" s="12">
        <v>34</v>
      </c>
      <c r="F38" s="12" t="s">
        <v>35</v>
      </c>
      <c r="G38" s="12" t="s">
        <v>20</v>
      </c>
      <c r="H38" s="12" t="s">
        <v>21</v>
      </c>
      <c r="I38" s="12" t="s">
        <v>22</v>
      </c>
      <c r="J38" s="12" t="s">
        <v>23</v>
      </c>
      <c r="K38" s="12" t="s">
        <v>24</v>
      </c>
      <c r="L38" s="12" t="s">
        <v>25</v>
      </c>
      <c r="M38" s="12">
        <v>25</v>
      </c>
      <c r="N38" s="12">
        <v>45</v>
      </c>
      <c r="O38" s="12">
        <v>120</v>
      </c>
      <c r="P38" s="12">
        <v>1845</v>
      </c>
      <c r="Q38" s="12">
        <v>1125</v>
      </c>
      <c r="R38" s="12">
        <v>2970</v>
      </c>
    </row>
    <row r="39" spans="1:18" x14ac:dyDescent="0.25">
      <c r="A39" s="13">
        <v>42319</v>
      </c>
      <c r="B39" s="12">
        <v>11</v>
      </c>
      <c r="C39" s="12" t="s">
        <v>18</v>
      </c>
      <c r="D39" s="12">
        <v>2015</v>
      </c>
      <c r="E39" s="12">
        <v>34</v>
      </c>
      <c r="F39" s="12" t="s">
        <v>35</v>
      </c>
      <c r="G39" s="12" t="s">
        <v>20</v>
      </c>
      <c r="H39" s="12" t="s">
        <v>21</v>
      </c>
      <c r="I39" s="12" t="s">
        <v>22</v>
      </c>
      <c r="J39" s="12" t="s">
        <v>23</v>
      </c>
      <c r="K39" s="12" t="s">
        <v>24</v>
      </c>
      <c r="L39" s="12" t="s">
        <v>25</v>
      </c>
      <c r="M39" s="12">
        <v>23</v>
      </c>
      <c r="N39" s="12">
        <v>45</v>
      </c>
      <c r="O39" s="12">
        <v>120</v>
      </c>
      <c r="P39" s="12">
        <v>1697</v>
      </c>
      <c r="Q39" s="12">
        <v>1035</v>
      </c>
      <c r="R39" s="12">
        <v>2732</v>
      </c>
    </row>
    <row r="40" spans="1:18" x14ac:dyDescent="0.25">
      <c r="A40" s="13">
        <v>41468</v>
      </c>
      <c r="B40" s="12">
        <v>13</v>
      </c>
      <c r="C40" s="12" t="s">
        <v>34</v>
      </c>
      <c r="D40" s="12">
        <v>2013</v>
      </c>
      <c r="E40" s="12">
        <v>43</v>
      </c>
      <c r="F40" s="12" t="s">
        <v>27</v>
      </c>
      <c r="G40" s="12" t="s">
        <v>31</v>
      </c>
      <c r="H40" s="12" t="s">
        <v>39</v>
      </c>
      <c r="I40" s="12" t="s">
        <v>42</v>
      </c>
      <c r="J40" s="12" t="s">
        <v>23</v>
      </c>
      <c r="K40" s="12" t="s">
        <v>24</v>
      </c>
      <c r="L40" s="12" t="s">
        <v>25</v>
      </c>
      <c r="M40" s="12">
        <v>10</v>
      </c>
      <c r="N40" s="12">
        <v>45</v>
      </c>
      <c r="O40" s="12">
        <v>120</v>
      </c>
      <c r="P40" s="12">
        <v>726</v>
      </c>
      <c r="Q40" s="12">
        <v>450</v>
      </c>
      <c r="R40" s="12">
        <v>1176</v>
      </c>
    </row>
    <row r="41" spans="1:18" x14ac:dyDescent="0.25">
      <c r="A41" s="13">
        <v>42198</v>
      </c>
      <c r="B41" s="12">
        <v>13</v>
      </c>
      <c r="C41" s="12" t="s">
        <v>34</v>
      </c>
      <c r="D41" s="12">
        <v>2015</v>
      </c>
      <c r="E41" s="12">
        <v>43</v>
      </c>
      <c r="F41" s="12" t="s">
        <v>27</v>
      </c>
      <c r="G41" s="12" t="s">
        <v>31</v>
      </c>
      <c r="H41" s="12" t="s">
        <v>39</v>
      </c>
      <c r="I41" s="12" t="s">
        <v>42</v>
      </c>
      <c r="J41" s="12" t="s">
        <v>23</v>
      </c>
      <c r="K41" s="12" t="s">
        <v>24</v>
      </c>
      <c r="L41" s="12" t="s">
        <v>25</v>
      </c>
      <c r="M41" s="12">
        <v>10</v>
      </c>
      <c r="N41" s="12">
        <v>45</v>
      </c>
      <c r="O41" s="12">
        <v>120</v>
      </c>
      <c r="P41" s="12">
        <v>726</v>
      </c>
      <c r="Q41" s="12">
        <v>450</v>
      </c>
      <c r="R41" s="12">
        <v>1176</v>
      </c>
    </row>
    <row r="42" spans="1:18" x14ac:dyDescent="0.25">
      <c r="A42" s="13">
        <v>41729</v>
      </c>
      <c r="B42" s="12">
        <v>31</v>
      </c>
      <c r="C42" s="12" t="s">
        <v>26</v>
      </c>
      <c r="D42" s="12">
        <v>2014</v>
      </c>
      <c r="E42" s="12">
        <v>43</v>
      </c>
      <c r="F42" s="12" t="s">
        <v>27</v>
      </c>
      <c r="G42" s="12" t="s">
        <v>31</v>
      </c>
      <c r="H42" s="12" t="s">
        <v>39</v>
      </c>
      <c r="I42" s="12" t="s">
        <v>42</v>
      </c>
      <c r="J42" s="12" t="s">
        <v>23</v>
      </c>
      <c r="K42" s="12" t="s">
        <v>24</v>
      </c>
      <c r="L42" s="12" t="s">
        <v>25</v>
      </c>
      <c r="M42" s="12">
        <v>11</v>
      </c>
      <c r="N42" s="12">
        <v>45</v>
      </c>
      <c r="O42" s="12">
        <v>120</v>
      </c>
      <c r="P42" s="12">
        <v>799</v>
      </c>
      <c r="Q42" s="12">
        <v>495</v>
      </c>
      <c r="R42" s="12">
        <v>1294</v>
      </c>
    </row>
    <row r="43" spans="1:18" x14ac:dyDescent="0.25">
      <c r="A43" s="13">
        <v>42460</v>
      </c>
      <c r="B43" s="12">
        <v>31</v>
      </c>
      <c r="C43" s="12" t="s">
        <v>26</v>
      </c>
      <c r="D43" s="12">
        <v>2016</v>
      </c>
      <c r="E43" s="12">
        <v>43</v>
      </c>
      <c r="F43" s="12" t="s">
        <v>27</v>
      </c>
      <c r="G43" s="12" t="s">
        <v>31</v>
      </c>
      <c r="H43" s="12" t="s">
        <v>39</v>
      </c>
      <c r="I43" s="12" t="s">
        <v>42</v>
      </c>
      <c r="J43" s="12" t="s">
        <v>23</v>
      </c>
      <c r="K43" s="12" t="s">
        <v>24</v>
      </c>
      <c r="L43" s="12" t="s">
        <v>25</v>
      </c>
      <c r="M43" s="12">
        <v>11</v>
      </c>
      <c r="N43" s="12">
        <v>45</v>
      </c>
      <c r="O43" s="12">
        <v>120</v>
      </c>
      <c r="P43" s="12">
        <v>799</v>
      </c>
      <c r="Q43" s="12">
        <v>495</v>
      </c>
      <c r="R43" s="12">
        <v>1294</v>
      </c>
    </row>
    <row r="44" spans="1:18" x14ac:dyDescent="0.25">
      <c r="A44" s="13">
        <v>41514</v>
      </c>
      <c r="B44" s="12">
        <v>28</v>
      </c>
      <c r="C44" s="12" t="s">
        <v>36</v>
      </c>
      <c r="D44" s="12">
        <v>2013</v>
      </c>
      <c r="E44" s="12">
        <v>61</v>
      </c>
      <c r="F44" s="12" t="s">
        <v>27</v>
      </c>
      <c r="G44" s="12" t="s">
        <v>20</v>
      </c>
      <c r="H44" s="12" t="s">
        <v>39</v>
      </c>
      <c r="I44" s="12" t="s">
        <v>42</v>
      </c>
      <c r="J44" s="12" t="s">
        <v>23</v>
      </c>
      <c r="K44" s="12" t="s">
        <v>24</v>
      </c>
      <c r="L44" s="12" t="s">
        <v>25</v>
      </c>
      <c r="M44" s="12">
        <v>8</v>
      </c>
      <c r="N44" s="12">
        <v>45</v>
      </c>
      <c r="O44" s="12">
        <v>120</v>
      </c>
      <c r="P44" s="12">
        <v>581</v>
      </c>
      <c r="Q44" s="12">
        <v>360</v>
      </c>
      <c r="R44" s="12">
        <v>941</v>
      </c>
    </row>
    <row r="45" spans="1:18" x14ac:dyDescent="0.25">
      <c r="A45" s="13">
        <v>42244</v>
      </c>
      <c r="B45" s="12">
        <v>28</v>
      </c>
      <c r="C45" s="12" t="s">
        <v>36</v>
      </c>
      <c r="D45" s="12">
        <v>2015</v>
      </c>
      <c r="E45" s="12">
        <v>61</v>
      </c>
      <c r="F45" s="12" t="s">
        <v>27</v>
      </c>
      <c r="G45" s="12" t="s">
        <v>20</v>
      </c>
      <c r="H45" s="12" t="s">
        <v>39</v>
      </c>
      <c r="I45" s="12" t="s">
        <v>42</v>
      </c>
      <c r="J45" s="12" t="s">
        <v>23</v>
      </c>
      <c r="K45" s="12" t="s">
        <v>24</v>
      </c>
      <c r="L45" s="12" t="s">
        <v>25</v>
      </c>
      <c r="M45" s="12">
        <v>10</v>
      </c>
      <c r="N45" s="12">
        <v>45</v>
      </c>
      <c r="O45" s="12">
        <v>120</v>
      </c>
      <c r="P45" s="12">
        <v>726</v>
      </c>
      <c r="Q45" s="12">
        <v>450</v>
      </c>
      <c r="R45" s="12">
        <v>1176</v>
      </c>
    </row>
    <row r="46" spans="1:18" x14ac:dyDescent="0.25">
      <c r="A46" s="13">
        <v>41513</v>
      </c>
      <c r="B46" s="12">
        <v>27</v>
      </c>
      <c r="C46" s="12" t="s">
        <v>36</v>
      </c>
      <c r="D46" s="12">
        <v>2013</v>
      </c>
      <c r="E46" s="12">
        <v>57</v>
      </c>
      <c r="F46" s="12" t="s">
        <v>27</v>
      </c>
      <c r="G46" s="12" t="s">
        <v>20</v>
      </c>
      <c r="H46" s="12" t="s">
        <v>21</v>
      </c>
      <c r="I46" s="12" t="s">
        <v>22</v>
      </c>
      <c r="J46" s="12" t="s">
        <v>23</v>
      </c>
      <c r="K46" s="12" t="s">
        <v>24</v>
      </c>
      <c r="L46" s="12" t="s">
        <v>25</v>
      </c>
      <c r="M46" s="12">
        <v>2</v>
      </c>
      <c r="N46" s="12">
        <v>45</v>
      </c>
      <c r="O46" s="12">
        <v>120</v>
      </c>
      <c r="P46" s="12">
        <v>148</v>
      </c>
      <c r="Q46" s="12">
        <v>90</v>
      </c>
      <c r="R46" s="12">
        <v>238</v>
      </c>
    </row>
    <row r="47" spans="1:18" x14ac:dyDescent="0.25">
      <c r="A47" s="13">
        <v>41595</v>
      </c>
      <c r="B47" s="12">
        <v>17</v>
      </c>
      <c r="C47" s="12" t="s">
        <v>18</v>
      </c>
      <c r="D47" s="12">
        <v>2013</v>
      </c>
      <c r="E47" s="12">
        <v>29</v>
      </c>
      <c r="F47" s="12" t="s">
        <v>35</v>
      </c>
      <c r="G47" s="12" t="s">
        <v>31</v>
      </c>
      <c r="H47" s="12" t="s">
        <v>21</v>
      </c>
      <c r="I47" s="12" t="s">
        <v>22</v>
      </c>
      <c r="J47" s="12" t="s">
        <v>23</v>
      </c>
      <c r="K47" s="12" t="s">
        <v>24</v>
      </c>
      <c r="L47" s="12" t="s">
        <v>25</v>
      </c>
      <c r="M47" s="12">
        <v>12</v>
      </c>
      <c r="N47" s="12">
        <v>45</v>
      </c>
      <c r="O47" s="12">
        <v>120</v>
      </c>
      <c r="P47" s="12">
        <v>886</v>
      </c>
      <c r="Q47" s="12">
        <v>540</v>
      </c>
      <c r="R47" s="12">
        <v>1426</v>
      </c>
    </row>
    <row r="48" spans="1:18" x14ac:dyDescent="0.25">
      <c r="A48" s="13">
        <v>42325</v>
      </c>
      <c r="B48" s="12">
        <v>17</v>
      </c>
      <c r="C48" s="12" t="s">
        <v>18</v>
      </c>
      <c r="D48" s="12">
        <v>2015</v>
      </c>
      <c r="E48" s="12">
        <v>29</v>
      </c>
      <c r="F48" s="12" t="s">
        <v>35</v>
      </c>
      <c r="G48" s="12" t="s">
        <v>31</v>
      </c>
      <c r="H48" s="12" t="s">
        <v>21</v>
      </c>
      <c r="I48" s="12" t="s">
        <v>22</v>
      </c>
      <c r="J48" s="12" t="s">
        <v>23</v>
      </c>
      <c r="K48" s="12" t="s">
        <v>24</v>
      </c>
      <c r="L48" s="12" t="s">
        <v>25</v>
      </c>
      <c r="M48" s="12">
        <v>14</v>
      </c>
      <c r="N48" s="12">
        <v>45</v>
      </c>
      <c r="O48" s="12">
        <v>120</v>
      </c>
      <c r="P48" s="12">
        <v>1033</v>
      </c>
      <c r="Q48" s="12">
        <v>630</v>
      </c>
      <c r="R48" s="12">
        <v>1663</v>
      </c>
    </row>
    <row r="49" spans="1:18" x14ac:dyDescent="0.25">
      <c r="A49" s="13">
        <v>41493</v>
      </c>
      <c r="B49" s="12">
        <v>7</v>
      </c>
      <c r="C49" s="12" t="s">
        <v>36</v>
      </c>
      <c r="D49" s="12">
        <v>2013</v>
      </c>
      <c r="E49" s="12">
        <v>38</v>
      </c>
      <c r="F49" s="12" t="s">
        <v>27</v>
      </c>
      <c r="G49" s="12" t="s">
        <v>20</v>
      </c>
      <c r="H49" s="12" t="s">
        <v>43</v>
      </c>
      <c r="I49" s="12" t="s">
        <v>44</v>
      </c>
      <c r="J49" s="12" t="s">
        <v>23</v>
      </c>
      <c r="K49" s="12" t="s">
        <v>24</v>
      </c>
      <c r="L49" s="12" t="s">
        <v>25</v>
      </c>
      <c r="M49" s="12">
        <v>3</v>
      </c>
      <c r="N49" s="12">
        <v>45</v>
      </c>
      <c r="O49" s="12">
        <v>120</v>
      </c>
      <c r="P49" s="12">
        <v>160</v>
      </c>
      <c r="Q49" s="12">
        <v>135</v>
      </c>
      <c r="R49" s="12">
        <v>295</v>
      </c>
    </row>
    <row r="50" spans="1:18" x14ac:dyDescent="0.25">
      <c r="A50" s="13">
        <v>42223</v>
      </c>
      <c r="B50" s="12">
        <v>7</v>
      </c>
      <c r="C50" s="12" t="s">
        <v>36</v>
      </c>
      <c r="D50" s="12">
        <v>2015</v>
      </c>
      <c r="E50" s="12">
        <v>38</v>
      </c>
      <c r="F50" s="12" t="s">
        <v>27</v>
      </c>
      <c r="G50" s="12" t="s">
        <v>20</v>
      </c>
      <c r="H50" s="12" t="s">
        <v>43</v>
      </c>
      <c r="I50" s="12" t="s">
        <v>44</v>
      </c>
      <c r="J50" s="12" t="s">
        <v>23</v>
      </c>
      <c r="K50" s="12" t="s">
        <v>24</v>
      </c>
      <c r="L50" s="12" t="s">
        <v>25</v>
      </c>
      <c r="M50" s="12">
        <v>1</v>
      </c>
      <c r="N50" s="12">
        <v>45</v>
      </c>
      <c r="O50" s="12">
        <v>120</v>
      </c>
      <c r="P50" s="12">
        <v>53</v>
      </c>
      <c r="Q50" s="12">
        <v>45</v>
      </c>
      <c r="R50" s="12">
        <v>98</v>
      </c>
    </row>
    <row r="51" spans="1:18" x14ac:dyDescent="0.25">
      <c r="A51" s="13">
        <v>41470</v>
      </c>
      <c r="B51" s="12">
        <v>15</v>
      </c>
      <c r="C51" s="12" t="s">
        <v>34</v>
      </c>
      <c r="D51" s="12">
        <v>2013</v>
      </c>
      <c r="E51" s="12">
        <v>52</v>
      </c>
      <c r="F51" s="12" t="s">
        <v>27</v>
      </c>
      <c r="G51" s="12" t="s">
        <v>31</v>
      </c>
      <c r="H51" s="12" t="s">
        <v>45</v>
      </c>
      <c r="I51" s="12" t="s">
        <v>46</v>
      </c>
      <c r="J51" s="12" t="s">
        <v>23</v>
      </c>
      <c r="K51" s="12" t="s">
        <v>24</v>
      </c>
      <c r="L51" s="12" t="s">
        <v>25</v>
      </c>
      <c r="M51" s="12">
        <v>8</v>
      </c>
      <c r="N51" s="12">
        <v>45</v>
      </c>
      <c r="O51" s="12">
        <v>120</v>
      </c>
      <c r="P51" s="12">
        <v>427</v>
      </c>
      <c r="Q51" s="12">
        <v>360</v>
      </c>
      <c r="R51" s="12">
        <v>787</v>
      </c>
    </row>
    <row r="52" spans="1:18" x14ac:dyDescent="0.25">
      <c r="A52" s="13">
        <v>42200</v>
      </c>
      <c r="B52" s="12">
        <v>15</v>
      </c>
      <c r="C52" s="12" t="s">
        <v>34</v>
      </c>
      <c r="D52" s="12">
        <v>2015</v>
      </c>
      <c r="E52" s="12">
        <v>52</v>
      </c>
      <c r="F52" s="12" t="s">
        <v>27</v>
      </c>
      <c r="G52" s="12" t="s">
        <v>31</v>
      </c>
      <c r="H52" s="12" t="s">
        <v>45</v>
      </c>
      <c r="I52" s="12" t="s">
        <v>46</v>
      </c>
      <c r="J52" s="12" t="s">
        <v>23</v>
      </c>
      <c r="K52" s="12" t="s">
        <v>24</v>
      </c>
      <c r="L52" s="12" t="s">
        <v>25</v>
      </c>
      <c r="M52" s="12">
        <v>8</v>
      </c>
      <c r="N52" s="12">
        <v>45</v>
      </c>
      <c r="O52" s="12">
        <v>120</v>
      </c>
      <c r="P52" s="12">
        <v>427</v>
      </c>
      <c r="Q52" s="12">
        <v>360</v>
      </c>
      <c r="R52" s="12">
        <v>787</v>
      </c>
    </row>
    <row r="53" spans="1:18" x14ac:dyDescent="0.25">
      <c r="A53" s="13">
        <v>41503</v>
      </c>
      <c r="B53" s="12">
        <v>17</v>
      </c>
      <c r="C53" s="12" t="s">
        <v>36</v>
      </c>
      <c r="D53" s="12">
        <v>2013</v>
      </c>
      <c r="E53" s="12">
        <v>43</v>
      </c>
      <c r="F53" s="12" t="s">
        <v>27</v>
      </c>
      <c r="G53" s="12" t="s">
        <v>31</v>
      </c>
      <c r="H53" s="12" t="s">
        <v>45</v>
      </c>
      <c r="I53" s="12" t="s">
        <v>47</v>
      </c>
      <c r="J53" s="12" t="s">
        <v>23</v>
      </c>
      <c r="K53" s="12" t="s">
        <v>24</v>
      </c>
      <c r="L53" s="12" t="s">
        <v>25</v>
      </c>
      <c r="M53" s="12">
        <v>28</v>
      </c>
      <c r="N53" s="12">
        <v>45</v>
      </c>
      <c r="O53" s="12">
        <v>120</v>
      </c>
      <c r="P53" s="12">
        <v>1697</v>
      </c>
      <c r="Q53" s="12">
        <v>1260</v>
      </c>
      <c r="R53" s="12">
        <v>2957</v>
      </c>
    </row>
    <row r="54" spans="1:18" x14ac:dyDescent="0.25">
      <c r="A54" s="13">
        <v>42233</v>
      </c>
      <c r="B54" s="12">
        <v>17</v>
      </c>
      <c r="C54" s="12" t="s">
        <v>36</v>
      </c>
      <c r="D54" s="12">
        <v>2015</v>
      </c>
      <c r="E54" s="12">
        <v>43</v>
      </c>
      <c r="F54" s="12" t="s">
        <v>27</v>
      </c>
      <c r="G54" s="12" t="s">
        <v>31</v>
      </c>
      <c r="H54" s="12" t="s">
        <v>45</v>
      </c>
      <c r="I54" s="12" t="s">
        <v>47</v>
      </c>
      <c r="J54" s="12" t="s">
        <v>23</v>
      </c>
      <c r="K54" s="12" t="s">
        <v>24</v>
      </c>
      <c r="L54" s="12" t="s">
        <v>25</v>
      </c>
      <c r="M54" s="12">
        <v>27</v>
      </c>
      <c r="N54" s="12">
        <v>45</v>
      </c>
      <c r="O54" s="12">
        <v>120</v>
      </c>
      <c r="P54" s="12">
        <v>1636</v>
      </c>
      <c r="Q54" s="12">
        <v>1215</v>
      </c>
      <c r="R54" s="12">
        <v>2851</v>
      </c>
    </row>
    <row r="55" spans="1:18" x14ac:dyDescent="0.25">
      <c r="A55" s="13">
        <v>41472</v>
      </c>
      <c r="B55" s="12">
        <v>17</v>
      </c>
      <c r="C55" s="12" t="s">
        <v>34</v>
      </c>
      <c r="D55" s="12">
        <v>2013</v>
      </c>
      <c r="E55" s="12">
        <v>24</v>
      </c>
      <c r="F55" s="12" t="s">
        <v>19</v>
      </c>
      <c r="G55" s="12" t="s">
        <v>31</v>
      </c>
      <c r="H55" s="12" t="s">
        <v>28</v>
      </c>
      <c r="I55" s="12" t="s">
        <v>48</v>
      </c>
      <c r="J55" s="12" t="s">
        <v>23</v>
      </c>
      <c r="K55" s="12" t="s">
        <v>24</v>
      </c>
      <c r="L55" s="12" t="s">
        <v>25</v>
      </c>
      <c r="M55" s="12">
        <v>9</v>
      </c>
      <c r="N55" s="12">
        <v>45</v>
      </c>
      <c r="O55" s="12">
        <v>120</v>
      </c>
      <c r="P55" s="12">
        <v>502</v>
      </c>
      <c r="Q55" s="12">
        <v>405</v>
      </c>
      <c r="R55" s="12">
        <v>907</v>
      </c>
    </row>
    <row r="56" spans="1:18" x14ac:dyDescent="0.25">
      <c r="A56" s="13">
        <v>42202</v>
      </c>
      <c r="B56" s="12">
        <v>17</v>
      </c>
      <c r="C56" s="12" t="s">
        <v>34</v>
      </c>
      <c r="D56" s="12">
        <v>2015</v>
      </c>
      <c r="E56" s="12">
        <v>24</v>
      </c>
      <c r="F56" s="12" t="s">
        <v>19</v>
      </c>
      <c r="G56" s="12" t="s">
        <v>31</v>
      </c>
      <c r="H56" s="12" t="s">
        <v>28</v>
      </c>
      <c r="I56" s="12" t="s">
        <v>48</v>
      </c>
      <c r="J56" s="12" t="s">
        <v>23</v>
      </c>
      <c r="K56" s="12" t="s">
        <v>24</v>
      </c>
      <c r="L56" s="12" t="s">
        <v>25</v>
      </c>
      <c r="M56" s="12">
        <v>6</v>
      </c>
      <c r="N56" s="12">
        <v>45</v>
      </c>
      <c r="O56" s="12">
        <v>120</v>
      </c>
      <c r="P56" s="12">
        <v>335</v>
      </c>
      <c r="Q56" s="12">
        <v>270</v>
      </c>
      <c r="R56" s="12">
        <v>605</v>
      </c>
    </row>
    <row r="57" spans="1:18" x14ac:dyDescent="0.25">
      <c r="A57" s="13">
        <v>41639</v>
      </c>
      <c r="B57" s="12">
        <v>31</v>
      </c>
      <c r="C57" s="12" t="s">
        <v>41</v>
      </c>
      <c r="D57" s="12">
        <v>2013</v>
      </c>
      <c r="E57" s="12">
        <v>23</v>
      </c>
      <c r="F57" s="12" t="s">
        <v>19</v>
      </c>
      <c r="G57" s="12" t="s">
        <v>20</v>
      </c>
      <c r="H57" s="12" t="s">
        <v>39</v>
      </c>
      <c r="I57" s="12" t="s">
        <v>42</v>
      </c>
      <c r="J57" s="12" t="s">
        <v>23</v>
      </c>
      <c r="K57" s="12" t="s">
        <v>24</v>
      </c>
      <c r="L57" s="12" t="s">
        <v>25</v>
      </c>
      <c r="M57" s="12">
        <v>6</v>
      </c>
      <c r="N57" s="12">
        <v>45</v>
      </c>
      <c r="O57" s="12">
        <v>120</v>
      </c>
      <c r="P57" s="12">
        <v>436</v>
      </c>
      <c r="Q57" s="12">
        <v>270</v>
      </c>
      <c r="R57" s="12">
        <v>706</v>
      </c>
    </row>
    <row r="58" spans="1:18" x14ac:dyDescent="0.25">
      <c r="A58" s="13">
        <v>42369</v>
      </c>
      <c r="B58" s="12">
        <v>31</v>
      </c>
      <c r="C58" s="12" t="s">
        <v>41</v>
      </c>
      <c r="D58" s="12">
        <v>2015</v>
      </c>
      <c r="E58" s="12">
        <v>23</v>
      </c>
      <c r="F58" s="12" t="s">
        <v>19</v>
      </c>
      <c r="G58" s="12" t="s">
        <v>20</v>
      </c>
      <c r="H58" s="12" t="s">
        <v>39</v>
      </c>
      <c r="I58" s="12" t="s">
        <v>42</v>
      </c>
      <c r="J58" s="12" t="s">
        <v>23</v>
      </c>
      <c r="K58" s="12" t="s">
        <v>24</v>
      </c>
      <c r="L58" s="12" t="s">
        <v>25</v>
      </c>
      <c r="M58" s="12">
        <v>7</v>
      </c>
      <c r="N58" s="12">
        <v>45</v>
      </c>
      <c r="O58" s="12">
        <v>120</v>
      </c>
      <c r="P58" s="12">
        <v>508</v>
      </c>
      <c r="Q58" s="12">
        <v>315</v>
      </c>
      <c r="R58" s="12">
        <v>823</v>
      </c>
    </row>
    <row r="59" spans="1:18" x14ac:dyDescent="0.25">
      <c r="A59" s="13">
        <v>41534</v>
      </c>
      <c r="B59" s="12">
        <v>17</v>
      </c>
      <c r="C59" s="12" t="s">
        <v>37</v>
      </c>
      <c r="D59" s="12">
        <v>2013</v>
      </c>
      <c r="E59" s="12">
        <v>29</v>
      </c>
      <c r="F59" s="12" t="s">
        <v>35</v>
      </c>
      <c r="G59" s="12" t="s">
        <v>31</v>
      </c>
      <c r="H59" s="12" t="s">
        <v>49</v>
      </c>
      <c r="I59" s="12" t="s">
        <v>50</v>
      </c>
      <c r="J59" s="12" t="s">
        <v>23</v>
      </c>
      <c r="K59" s="12" t="s">
        <v>24</v>
      </c>
      <c r="L59" s="12" t="s">
        <v>25</v>
      </c>
      <c r="M59" s="12">
        <v>15</v>
      </c>
      <c r="N59" s="12">
        <v>45</v>
      </c>
      <c r="O59" s="12">
        <v>120</v>
      </c>
      <c r="P59" s="12">
        <v>1053</v>
      </c>
      <c r="Q59" s="12">
        <v>675</v>
      </c>
      <c r="R59" s="12">
        <v>1728</v>
      </c>
    </row>
    <row r="60" spans="1:18" x14ac:dyDescent="0.25">
      <c r="A60" s="13">
        <v>42264</v>
      </c>
      <c r="B60" s="12">
        <v>17</v>
      </c>
      <c r="C60" s="12" t="s">
        <v>37</v>
      </c>
      <c r="D60" s="12">
        <v>2015</v>
      </c>
      <c r="E60" s="12">
        <v>29</v>
      </c>
      <c r="F60" s="12" t="s">
        <v>35</v>
      </c>
      <c r="G60" s="12" t="s">
        <v>31</v>
      </c>
      <c r="H60" s="12" t="s">
        <v>49</v>
      </c>
      <c r="I60" s="12" t="s">
        <v>50</v>
      </c>
      <c r="J60" s="12" t="s">
        <v>23</v>
      </c>
      <c r="K60" s="12" t="s">
        <v>24</v>
      </c>
      <c r="L60" s="12" t="s">
        <v>25</v>
      </c>
      <c r="M60" s="12">
        <v>15</v>
      </c>
      <c r="N60" s="12">
        <v>45</v>
      </c>
      <c r="O60" s="12">
        <v>120</v>
      </c>
      <c r="P60" s="12">
        <v>1053</v>
      </c>
      <c r="Q60" s="12">
        <v>675</v>
      </c>
      <c r="R60" s="12">
        <v>1728</v>
      </c>
    </row>
    <row r="61" spans="1:18" x14ac:dyDescent="0.25">
      <c r="A61" s="13">
        <v>41541</v>
      </c>
      <c r="B61" s="12">
        <v>24</v>
      </c>
      <c r="C61" s="12" t="s">
        <v>37</v>
      </c>
      <c r="D61" s="12">
        <v>2013</v>
      </c>
      <c r="E61" s="12">
        <v>32</v>
      </c>
      <c r="F61" s="12" t="s">
        <v>35</v>
      </c>
      <c r="G61" s="12" t="s">
        <v>20</v>
      </c>
      <c r="H61" s="12" t="s">
        <v>45</v>
      </c>
      <c r="I61" s="12" t="s">
        <v>51</v>
      </c>
      <c r="J61" s="12" t="s">
        <v>23</v>
      </c>
      <c r="K61" s="12" t="s">
        <v>24</v>
      </c>
      <c r="L61" s="12" t="s">
        <v>25</v>
      </c>
      <c r="M61" s="12">
        <v>6</v>
      </c>
      <c r="N61" s="12">
        <v>45</v>
      </c>
      <c r="O61" s="12">
        <v>120</v>
      </c>
      <c r="P61" s="12">
        <v>356</v>
      </c>
      <c r="Q61" s="12">
        <v>270</v>
      </c>
      <c r="R61" s="12">
        <v>626</v>
      </c>
    </row>
    <row r="62" spans="1:18" x14ac:dyDescent="0.25">
      <c r="A62" s="13">
        <v>42271</v>
      </c>
      <c r="B62" s="12">
        <v>24</v>
      </c>
      <c r="C62" s="12" t="s">
        <v>37</v>
      </c>
      <c r="D62" s="12">
        <v>2015</v>
      </c>
      <c r="E62" s="12">
        <v>32</v>
      </c>
      <c r="F62" s="12" t="s">
        <v>35</v>
      </c>
      <c r="G62" s="12" t="s">
        <v>20</v>
      </c>
      <c r="H62" s="12" t="s">
        <v>45</v>
      </c>
      <c r="I62" s="12" t="s">
        <v>51</v>
      </c>
      <c r="J62" s="12" t="s">
        <v>23</v>
      </c>
      <c r="K62" s="12" t="s">
        <v>24</v>
      </c>
      <c r="L62" s="12" t="s">
        <v>25</v>
      </c>
      <c r="M62" s="12">
        <v>3</v>
      </c>
      <c r="N62" s="12">
        <v>45</v>
      </c>
      <c r="O62" s="12">
        <v>120</v>
      </c>
      <c r="P62" s="12">
        <v>178</v>
      </c>
      <c r="Q62" s="12">
        <v>135</v>
      </c>
      <c r="R62" s="12">
        <v>313</v>
      </c>
    </row>
    <row r="63" spans="1:18" x14ac:dyDescent="0.25">
      <c r="A63" s="13">
        <v>41542</v>
      </c>
      <c r="B63" s="12">
        <v>25</v>
      </c>
      <c r="C63" s="12" t="s">
        <v>37</v>
      </c>
      <c r="D63" s="12">
        <v>2013</v>
      </c>
      <c r="E63" s="12">
        <v>19</v>
      </c>
      <c r="F63" s="12" t="s">
        <v>19</v>
      </c>
      <c r="G63" s="12" t="s">
        <v>31</v>
      </c>
      <c r="H63" s="12" t="s">
        <v>43</v>
      </c>
      <c r="I63" s="12" t="s">
        <v>44</v>
      </c>
      <c r="J63" s="12" t="s">
        <v>23</v>
      </c>
      <c r="K63" s="12" t="s">
        <v>24</v>
      </c>
      <c r="L63" s="12" t="s">
        <v>25</v>
      </c>
      <c r="M63" s="12">
        <v>6</v>
      </c>
      <c r="N63" s="12">
        <v>45</v>
      </c>
      <c r="O63" s="12">
        <v>120</v>
      </c>
      <c r="P63" s="12">
        <v>320</v>
      </c>
      <c r="Q63" s="12">
        <v>270</v>
      </c>
      <c r="R63" s="12">
        <v>590</v>
      </c>
    </row>
    <row r="64" spans="1:18" x14ac:dyDescent="0.25">
      <c r="A64" s="13">
        <v>42272</v>
      </c>
      <c r="B64" s="12">
        <v>25</v>
      </c>
      <c r="C64" s="12" t="s">
        <v>37</v>
      </c>
      <c r="D64" s="12">
        <v>2015</v>
      </c>
      <c r="E64" s="12">
        <v>19</v>
      </c>
      <c r="F64" s="12" t="s">
        <v>19</v>
      </c>
      <c r="G64" s="12" t="s">
        <v>31</v>
      </c>
      <c r="H64" s="12" t="s">
        <v>43</v>
      </c>
      <c r="I64" s="12" t="s">
        <v>44</v>
      </c>
      <c r="J64" s="12" t="s">
        <v>23</v>
      </c>
      <c r="K64" s="12" t="s">
        <v>24</v>
      </c>
      <c r="L64" s="12" t="s">
        <v>25</v>
      </c>
      <c r="M64" s="12">
        <v>8</v>
      </c>
      <c r="N64" s="12">
        <v>45</v>
      </c>
      <c r="O64" s="12">
        <v>120</v>
      </c>
      <c r="P64" s="12">
        <v>427</v>
      </c>
      <c r="Q64" s="12">
        <v>360</v>
      </c>
      <c r="R64" s="12">
        <v>787</v>
      </c>
    </row>
    <row r="65" spans="1:18" x14ac:dyDescent="0.25">
      <c r="A65" s="13">
        <v>41604</v>
      </c>
      <c r="B65" s="12">
        <v>26</v>
      </c>
      <c r="C65" s="12" t="s">
        <v>18</v>
      </c>
      <c r="D65" s="12">
        <v>2013</v>
      </c>
      <c r="E65" s="12">
        <v>26</v>
      </c>
      <c r="F65" s="12" t="s">
        <v>35</v>
      </c>
      <c r="G65" s="12" t="s">
        <v>31</v>
      </c>
      <c r="H65" s="12" t="s">
        <v>21</v>
      </c>
      <c r="I65" s="12" t="s">
        <v>22</v>
      </c>
      <c r="J65" s="12" t="s">
        <v>23</v>
      </c>
      <c r="K65" s="12" t="s">
        <v>24</v>
      </c>
      <c r="L65" s="12" t="s">
        <v>25</v>
      </c>
      <c r="M65" s="12">
        <v>7</v>
      </c>
      <c r="N65" s="12">
        <v>45</v>
      </c>
      <c r="O65" s="12">
        <v>120</v>
      </c>
      <c r="P65" s="12">
        <v>517</v>
      </c>
      <c r="Q65" s="12">
        <v>315</v>
      </c>
      <c r="R65" s="12">
        <v>832</v>
      </c>
    </row>
    <row r="66" spans="1:18" x14ac:dyDescent="0.25">
      <c r="A66" s="13">
        <v>41489</v>
      </c>
      <c r="B66" s="12">
        <v>3</v>
      </c>
      <c r="C66" s="12" t="s">
        <v>36</v>
      </c>
      <c r="D66" s="12">
        <v>2013</v>
      </c>
      <c r="E66" s="12">
        <v>35</v>
      </c>
      <c r="F66" s="12" t="s">
        <v>27</v>
      </c>
      <c r="G66" s="12" t="s">
        <v>20</v>
      </c>
      <c r="H66" s="12" t="s">
        <v>21</v>
      </c>
      <c r="I66" s="12" t="s">
        <v>22</v>
      </c>
      <c r="J66" s="12" t="s">
        <v>23</v>
      </c>
      <c r="K66" s="12" t="s">
        <v>24</v>
      </c>
      <c r="L66" s="12" t="s">
        <v>25</v>
      </c>
      <c r="M66" s="12">
        <v>1</v>
      </c>
      <c r="N66" s="12">
        <v>45</v>
      </c>
      <c r="O66" s="12">
        <v>120</v>
      </c>
      <c r="P66" s="12">
        <v>74</v>
      </c>
      <c r="Q66" s="12">
        <v>45</v>
      </c>
      <c r="R66" s="12">
        <v>119</v>
      </c>
    </row>
    <row r="67" spans="1:18" x14ac:dyDescent="0.25">
      <c r="A67" s="13">
        <v>41809</v>
      </c>
      <c r="B67" s="12">
        <v>19</v>
      </c>
      <c r="C67" s="12" t="s">
        <v>52</v>
      </c>
      <c r="D67" s="12">
        <v>2014</v>
      </c>
      <c r="E67" s="12">
        <v>35</v>
      </c>
      <c r="F67" s="12" t="s">
        <v>27</v>
      </c>
      <c r="G67" s="12" t="s">
        <v>20</v>
      </c>
      <c r="H67" s="12" t="s">
        <v>21</v>
      </c>
      <c r="I67" s="12" t="s">
        <v>22</v>
      </c>
      <c r="J67" s="12" t="s">
        <v>23</v>
      </c>
      <c r="K67" s="12" t="s">
        <v>24</v>
      </c>
      <c r="L67" s="12" t="s">
        <v>25</v>
      </c>
      <c r="M67" s="12">
        <v>10</v>
      </c>
      <c r="N67" s="12">
        <v>45</v>
      </c>
      <c r="O67" s="12">
        <v>120</v>
      </c>
      <c r="P67" s="12">
        <v>738</v>
      </c>
      <c r="Q67" s="12">
        <v>450</v>
      </c>
      <c r="R67" s="12">
        <v>1188</v>
      </c>
    </row>
    <row r="68" spans="1:18" x14ac:dyDescent="0.25">
      <c r="A68" s="13">
        <v>42540</v>
      </c>
      <c r="B68" s="12">
        <v>19</v>
      </c>
      <c r="C68" s="12" t="s">
        <v>52</v>
      </c>
      <c r="D68" s="12">
        <v>2016</v>
      </c>
      <c r="E68" s="12">
        <v>35</v>
      </c>
      <c r="F68" s="12" t="s">
        <v>27</v>
      </c>
      <c r="G68" s="12" t="s">
        <v>20</v>
      </c>
      <c r="H68" s="12" t="s">
        <v>21</v>
      </c>
      <c r="I68" s="12" t="s">
        <v>22</v>
      </c>
      <c r="J68" s="12" t="s">
        <v>23</v>
      </c>
      <c r="K68" s="12" t="s">
        <v>24</v>
      </c>
      <c r="L68" s="12" t="s">
        <v>25</v>
      </c>
      <c r="M68" s="12">
        <v>12</v>
      </c>
      <c r="N68" s="12">
        <v>45</v>
      </c>
      <c r="O68" s="12">
        <v>120</v>
      </c>
      <c r="P68" s="12">
        <v>886</v>
      </c>
      <c r="Q68" s="12">
        <v>540</v>
      </c>
      <c r="R68" s="12">
        <v>1426</v>
      </c>
    </row>
    <row r="69" spans="1:18" x14ac:dyDescent="0.25">
      <c r="A69" s="13">
        <v>41702</v>
      </c>
      <c r="B69" s="12">
        <v>4</v>
      </c>
      <c r="C69" s="12" t="s">
        <v>26</v>
      </c>
      <c r="D69" s="12">
        <v>2014</v>
      </c>
      <c r="E69" s="12">
        <v>38</v>
      </c>
      <c r="F69" s="12" t="s">
        <v>27</v>
      </c>
      <c r="G69" s="12" t="s">
        <v>31</v>
      </c>
      <c r="H69" s="12" t="s">
        <v>39</v>
      </c>
      <c r="I69" s="12" t="s">
        <v>42</v>
      </c>
      <c r="J69" s="12" t="s">
        <v>23</v>
      </c>
      <c r="K69" s="12" t="s">
        <v>24</v>
      </c>
      <c r="L69" s="12" t="s">
        <v>25</v>
      </c>
      <c r="M69" s="12">
        <v>4</v>
      </c>
      <c r="N69" s="12">
        <v>45</v>
      </c>
      <c r="O69" s="12">
        <v>120</v>
      </c>
      <c r="P69" s="12">
        <v>290</v>
      </c>
      <c r="Q69" s="12">
        <v>180</v>
      </c>
      <c r="R69" s="12">
        <v>470</v>
      </c>
    </row>
    <row r="70" spans="1:18" x14ac:dyDescent="0.25">
      <c r="A70" s="13">
        <v>42433</v>
      </c>
      <c r="B70" s="12">
        <v>4</v>
      </c>
      <c r="C70" s="12" t="s">
        <v>26</v>
      </c>
      <c r="D70" s="12">
        <v>2016</v>
      </c>
      <c r="E70" s="12">
        <v>38</v>
      </c>
      <c r="F70" s="12" t="s">
        <v>27</v>
      </c>
      <c r="G70" s="12" t="s">
        <v>31</v>
      </c>
      <c r="H70" s="12" t="s">
        <v>39</v>
      </c>
      <c r="I70" s="12" t="s">
        <v>42</v>
      </c>
      <c r="J70" s="12" t="s">
        <v>23</v>
      </c>
      <c r="K70" s="12" t="s">
        <v>24</v>
      </c>
      <c r="L70" s="12" t="s">
        <v>25</v>
      </c>
      <c r="M70" s="12">
        <v>3</v>
      </c>
      <c r="N70" s="12">
        <v>45</v>
      </c>
      <c r="O70" s="12">
        <v>120</v>
      </c>
      <c r="P70" s="12">
        <v>218</v>
      </c>
      <c r="Q70" s="12">
        <v>135</v>
      </c>
      <c r="R70" s="12">
        <v>353</v>
      </c>
    </row>
    <row r="71" spans="1:18" x14ac:dyDescent="0.25">
      <c r="A71" s="13">
        <v>41789</v>
      </c>
      <c r="B71" s="12">
        <v>30</v>
      </c>
      <c r="C71" s="12" t="s">
        <v>30</v>
      </c>
      <c r="D71" s="12">
        <v>2014</v>
      </c>
      <c r="E71" s="12">
        <v>38</v>
      </c>
      <c r="F71" s="12" t="s">
        <v>27</v>
      </c>
      <c r="G71" s="12" t="s">
        <v>31</v>
      </c>
      <c r="H71" s="12" t="s">
        <v>39</v>
      </c>
      <c r="I71" s="12" t="s">
        <v>42</v>
      </c>
      <c r="J71" s="12" t="s">
        <v>23</v>
      </c>
      <c r="K71" s="12" t="s">
        <v>24</v>
      </c>
      <c r="L71" s="12" t="s">
        <v>25</v>
      </c>
      <c r="M71" s="12">
        <v>2</v>
      </c>
      <c r="N71" s="12">
        <v>45</v>
      </c>
      <c r="O71" s="12">
        <v>120</v>
      </c>
      <c r="P71" s="12">
        <v>145</v>
      </c>
      <c r="Q71" s="12">
        <v>90</v>
      </c>
      <c r="R71" s="12">
        <v>235</v>
      </c>
    </row>
    <row r="72" spans="1:18" x14ac:dyDescent="0.25">
      <c r="A72" s="13">
        <v>42520</v>
      </c>
      <c r="B72" s="12">
        <v>30</v>
      </c>
      <c r="C72" s="12" t="s">
        <v>30</v>
      </c>
      <c r="D72" s="12">
        <v>2016</v>
      </c>
      <c r="E72" s="12">
        <v>38</v>
      </c>
      <c r="F72" s="12" t="s">
        <v>27</v>
      </c>
      <c r="G72" s="12" t="s">
        <v>31</v>
      </c>
      <c r="H72" s="12" t="s">
        <v>39</v>
      </c>
      <c r="I72" s="12" t="s">
        <v>42</v>
      </c>
      <c r="J72" s="12" t="s">
        <v>23</v>
      </c>
      <c r="K72" s="12" t="s">
        <v>24</v>
      </c>
      <c r="L72" s="12" t="s">
        <v>25</v>
      </c>
      <c r="M72" s="12">
        <v>2</v>
      </c>
      <c r="N72" s="12">
        <v>45</v>
      </c>
      <c r="O72" s="12">
        <v>120</v>
      </c>
      <c r="P72" s="12">
        <v>145</v>
      </c>
      <c r="Q72" s="12">
        <v>90</v>
      </c>
      <c r="R72" s="12">
        <v>235</v>
      </c>
    </row>
    <row r="73" spans="1:18" x14ac:dyDescent="0.25">
      <c r="A73" s="13">
        <v>41818</v>
      </c>
      <c r="B73" s="12">
        <v>28</v>
      </c>
      <c r="C73" s="12" t="s">
        <v>52</v>
      </c>
      <c r="D73" s="12">
        <v>2014</v>
      </c>
      <c r="E73" s="12">
        <v>38</v>
      </c>
      <c r="F73" s="12" t="s">
        <v>27</v>
      </c>
      <c r="G73" s="12" t="s">
        <v>31</v>
      </c>
      <c r="H73" s="12" t="s">
        <v>39</v>
      </c>
      <c r="I73" s="12" t="s">
        <v>42</v>
      </c>
      <c r="J73" s="12" t="s">
        <v>23</v>
      </c>
      <c r="K73" s="12" t="s">
        <v>24</v>
      </c>
      <c r="L73" s="12" t="s">
        <v>25</v>
      </c>
      <c r="M73" s="12">
        <v>10</v>
      </c>
      <c r="N73" s="12">
        <v>45</v>
      </c>
      <c r="O73" s="12">
        <v>120</v>
      </c>
      <c r="P73" s="12">
        <v>726</v>
      </c>
      <c r="Q73" s="12">
        <v>450</v>
      </c>
      <c r="R73" s="12">
        <v>1176</v>
      </c>
    </row>
    <row r="74" spans="1:18" x14ac:dyDescent="0.25">
      <c r="A74" s="13">
        <v>42549</v>
      </c>
      <c r="B74" s="12">
        <v>28</v>
      </c>
      <c r="C74" s="12" t="s">
        <v>52</v>
      </c>
      <c r="D74" s="12">
        <v>2016</v>
      </c>
      <c r="E74" s="12">
        <v>38</v>
      </c>
      <c r="F74" s="12" t="s">
        <v>27</v>
      </c>
      <c r="G74" s="12" t="s">
        <v>31</v>
      </c>
      <c r="H74" s="12" t="s">
        <v>39</v>
      </c>
      <c r="I74" s="12" t="s">
        <v>42</v>
      </c>
      <c r="J74" s="12" t="s">
        <v>23</v>
      </c>
      <c r="K74" s="12" t="s">
        <v>24</v>
      </c>
      <c r="L74" s="12" t="s">
        <v>25</v>
      </c>
      <c r="M74" s="12">
        <v>7</v>
      </c>
      <c r="N74" s="12">
        <v>45</v>
      </c>
      <c r="O74" s="12">
        <v>120</v>
      </c>
      <c r="P74" s="12">
        <v>508</v>
      </c>
      <c r="Q74" s="12">
        <v>315</v>
      </c>
      <c r="R74" s="12">
        <v>823</v>
      </c>
    </row>
    <row r="75" spans="1:18" x14ac:dyDescent="0.25">
      <c r="A75" s="13">
        <v>41830</v>
      </c>
      <c r="B75" s="12">
        <v>10</v>
      </c>
      <c r="C75" s="12" t="s">
        <v>34</v>
      </c>
      <c r="D75" s="12">
        <v>2014</v>
      </c>
      <c r="E75" s="12">
        <v>38</v>
      </c>
      <c r="F75" s="12" t="s">
        <v>27</v>
      </c>
      <c r="G75" s="12" t="s">
        <v>31</v>
      </c>
      <c r="H75" s="12" t="s">
        <v>39</v>
      </c>
      <c r="I75" s="12" t="s">
        <v>42</v>
      </c>
      <c r="J75" s="12" t="s">
        <v>23</v>
      </c>
      <c r="K75" s="12" t="s">
        <v>24</v>
      </c>
      <c r="L75" s="12" t="s">
        <v>25</v>
      </c>
      <c r="M75" s="12">
        <v>13</v>
      </c>
      <c r="N75" s="12">
        <v>45</v>
      </c>
      <c r="O75" s="12">
        <v>120</v>
      </c>
      <c r="P75" s="12">
        <v>944</v>
      </c>
      <c r="Q75" s="12">
        <v>585</v>
      </c>
      <c r="R75" s="12">
        <v>1529</v>
      </c>
    </row>
    <row r="76" spans="1:18" x14ac:dyDescent="0.25">
      <c r="A76" s="13">
        <v>42561</v>
      </c>
      <c r="B76" s="12">
        <v>10</v>
      </c>
      <c r="C76" s="12" t="s">
        <v>34</v>
      </c>
      <c r="D76" s="12">
        <v>2016</v>
      </c>
      <c r="E76" s="12">
        <v>38</v>
      </c>
      <c r="F76" s="12" t="s">
        <v>27</v>
      </c>
      <c r="G76" s="12" t="s">
        <v>31</v>
      </c>
      <c r="H76" s="12" t="s">
        <v>39</v>
      </c>
      <c r="I76" s="12" t="s">
        <v>42</v>
      </c>
      <c r="J76" s="12" t="s">
        <v>23</v>
      </c>
      <c r="K76" s="12" t="s">
        <v>24</v>
      </c>
      <c r="L76" s="12" t="s">
        <v>25</v>
      </c>
      <c r="M76" s="12">
        <v>12</v>
      </c>
      <c r="N76" s="12">
        <v>45</v>
      </c>
      <c r="O76" s="12">
        <v>120</v>
      </c>
      <c r="P76" s="12">
        <v>871</v>
      </c>
      <c r="Q76" s="12">
        <v>540</v>
      </c>
      <c r="R76" s="12">
        <v>1411</v>
      </c>
    </row>
    <row r="77" spans="1:18" x14ac:dyDescent="0.25">
      <c r="A77" s="13">
        <v>41710</v>
      </c>
      <c r="B77" s="12">
        <v>12</v>
      </c>
      <c r="C77" s="12" t="s">
        <v>26</v>
      </c>
      <c r="D77" s="12">
        <v>2014</v>
      </c>
      <c r="E77" s="12">
        <v>54</v>
      </c>
      <c r="F77" s="12" t="s">
        <v>27</v>
      </c>
      <c r="G77" s="12" t="s">
        <v>31</v>
      </c>
      <c r="H77" s="12" t="s">
        <v>28</v>
      </c>
      <c r="I77" s="12" t="s">
        <v>48</v>
      </c>
      <c r="J77" s="12" t="s">
        <v>23</v>
      </c>
      <c r="K77" s="12" t="s">
        <v>24</v>
      </c>
      <c r="L77" s="12" t="s">
        <v>25</v>
      </c>
      <c r="M77" s="12">
        <v>7</v>
      </c>
      <c r="N77" s="12">
        <v>45</v>
      </c>
      <c r="O77" s="12">
        <v>120</v>
      </c>
      <c r="P77" s="12">
        <v>391</v>
      </c>
      <c r="Q77" s="12">
        <v>315</v>
      </c>
      <c r="R77" s="12">
        <v>706</v>
      </c>
    </row>
    <row r="78" spans="1:18" x14ac:dyDescent="0.25">
      <c r="A78" s="13">
        <v>42441</v>
      </c>
      <c r="B78" s="12">
        <v>12</v>
      </c>
      <c r="C78" s="12" t="s">
        <v>26</v>
      </c>
      <c r="D78" s="12">
        <v>2016</v>
      </c>
      <c r="E78" s="12">
        <v>54</v>
      </c>
      <c r="F78" s="12" t="s">
        <v>27</v>
      </c>
      <c r="G78" s="12" t="s">
        <v>31</v>
      </c>
      <c r="H78" s="12" t="s">
        <v>28</v>
      </c>
      <c r="I78" s="12" t="s">
        <v>48</v>
      </c>
      <c r="J78" s="12" t="s">
        <v>23</v>
      </c>
      <c r="K78" s="12" t="s">
        <v>24</v>
      </c>
      <c r="L78" s="12" t="s">
        <v>25</v>
      </c>
      <c r="M78" s="12">
        <v>6</v>
      </c>
      <c r="N78" s="12">
        <v>45</v>
      </c>
      <c r="O78" s="12">
        <v>120</v>
      </c>
      <c r="P78" s="12">
        <v>335</v>
      </c>
      <c r="Q78" s="12">
        <v>270</v>
      </c>
      <c r="R78" s="12">
        <v>605</v>
      </c>
    </row>
    <row r="79" spans="1:18" x14ac:dyDescent="0.25">
      <c r="A79" s="13">
        <v>41520</v>
      </c>
      <c r="B79" s="12">
        <v>3</v>
      </c>
      <c r="C79" s="12" t="s">
        <v>37</v>
      </c>
      <c r="D79" s="12">
        <v>2013</v>
      </c>
      <c r="E79" s="12">
        <v>51</v>
      </c>
      <c r="F79" s="12" t="s">
        <v>27</v>
      </c>
      <c r="G79" s="12" t="s">
        <v>31</v>
      </c>
      <c r="H79" s="12" t="s">
        <v>39</v>
      </c>
      <c r="I79" s="12" t="s">
        <v>53</v>
      </c>
      <c r="J79" s="12" t="s">
        <v>23</v>
      </c>
      <c r="K79" s="12" t="s">
        <v>24</v>
      </c>
      <c r="L79" s="12" t="s">
        <v>25</v>
      </c>
      <c r="M79" s="12">
        <v>7</v>
      </c>
      <c r="N79" s="12">
        <v>45</v>
      </c>
      <c r="O79" s="12">
        <v>120</v>
      </c>
      <c r="P79" s="12">
        <v>340</v>
      </c>
      <c r="Q79" s="12">
        <v>315</v>
      </c>
      <c r="R79" s="12">
        <v>655</v>
      </c>
    </row>
    <row r="80" spans="1:18" x14ac:dyDescent="0.25">
      <c r="A80" s="13">
        <v>42250</v>
      </c>
      <c r="B80" s="12">
        <v>3</v>
      </c>
      <c r="C80" s="12" t="s">
        <v>37</v>
      </c>
      <c r="D80" s="12">
        <v>2015</v>
      </c>
      <c r="E80" s="12">
        <v>51</v>
      </c>
      <c r="F80" s="12" t="s">
        <v>27</v>
      </c>
      <c r="G80" s="12" t="s">
        <v>31</v>
      </c>
      <c r="H80" s="12" t="s">
        <v>39</v>
      </c>
      <c r="I80" s="12" t="s">
        <v>53</v>
      </c>
      <c r="J80" s="12" t="s">
        <v>23</v>
      </c>
      <c r="K80" s="12" t="s">
        <v>24</v>
      </c>
      <c r="L80" s="12" t="s">
        <v>25</v>
      </c>
      <c r="M80" s="12">
        <v>9</v>
      </c>
      <c r="N80" s="12">
        <v>45</v>
      </c>
      <c r="O80" s="12">
        <v>120</v>
      </c>
      <c r="P80" s="12">
        <v>437</v>
      </c>
      <c r="Q80" s="12">
        <v>405</v>
      </c>
      <c r="R80" s="12">
        <v>842</v>
      </c>
    </row>
    <row r="81" spans="1:18" x14ac:dyDescent="0.25">
      <c r="A81" s="13">
        <v>41724</v>
      </c>
      <c r="B81" s="12">
        <v>26</v>
      </c>
      <c r="C81" s="12" t="s">
        <v>26</v>
      </c>
      <c r="D81" s="12">
        <v>2014</v>
      </c>
      <c r="E81" s="12">
        <v>47</v>
      </c>
      <c r="F81" s="12" t="s">
        <v>27</v>
      </c>
      <c r="G81" s="12" t="s">
        <v>31</v>
      </c>
      <c r="H81" s="12" t="s">
        <v>39</v>
      </c>
      <c r="I81" s="12" t="s">
        <v>42</v>
      </c>
      <c r="J81" s="12" t="s">
        <v>23</v>
      </c>
      <c r="K81" s="12" t="s">
        <v>24</v>
      </c>
      <c r="L81" s="12" t="s">
        <v>25</v>
      </c>
      <c r="M81" s="12">
        <v>6</v>
      </c>
      <c r="N81" s="12">
        <v>45</v>
      </c>
      <c r="O81" s="12">
        <v>120</v>
      </c>
      <c r="P81" s="12">
        <v>436</v>
      </c>
      <c r="Q81" s="12">
        <v>270</v>
      </c>
      <c r="R81" s="12">
        <v>706</v>
      </c>
    </row>
    <row r="82" spans="1:18" x14ac:dyDescent="0.25">
      <c r="A82" s="13">
        <v>42455</v>
      </c>
      <c r="B82" s="12">
        <v>26</v>
      </c>
      <c r="C82" s="12" t="s">
        <v>26</v>
      </c>
      <c r="D82" s="12">
        <v>2016</v>
      </c>
      <c r="E82" s="12">
        <v>47</v>
      </c>
      <c r="F82" s="12" t="s">
        <v>27</v>
      </c>
      <c r="G82" s="12" t="s">
        <v>31</v>
      </c>
      <c r="H82" s="12" t="s">
        <v>39</v>
      </c>
      <c r="I82" s="12" t="s">
        <v>42</v>
      </c>
      <c r="J82" s="12" t="s">
        <v>23</v>
      </c>
      <c r="K82" s="12" t="s">
        <v>24</v>
      </c>
      <c r="L82" s="12" t="s">
        <v>25</v>
      </c>
      <c r="M82" s="12">
        <v>4</v>
      </c>
      <c r="N82" s="12">
        <v>45</v>
      </c>
      <c r="O82" s="12">
        <v>120</v>
      </c>
      <c r="P82" s="12">
        <v>290</v>
      </c>
      <c r="Q82" s="12">
        <v>180</v>
      </c>
      <c r="R82" s="12">
        <v>470</v>
      </c>
    </row>
    <row r="83" spans="1:18" x14ac:dyDescent="0.25">
      <c r="A83" s="13">
        <v>41763</v>
      </c>
      <c r="B83" s="12">
        <v>4</v>
      </c>
      <c r="C83" s="12" t="s">
        <v>30</v>
      </c>
      <c r="D83" s="12">
        <v>2014</v>
      </c>
      <c r="E83" s="12">
        <v>47</v>
      </c>
      <c r="F83" s="12" t="s">
        <v>27</v>
      </c>
      <c r="G83" s="12" t="s">
        <v>31</v>
      </c>
      <c r="H83" s="12" t="s">
        <v>39</v>
      </c>
      <c r="I83" s="12" t="s">
        <v>42</v>
      </c>
      <c r="J83" s="12" t="s">
        <v>23</v>
      </c>
      <c r="K83" s="12" t="s">
        <v>24</v>
      </c>
      <c r="L83" s="12" t="s">
        <v>25</v>
      </c>
      <c r="M83" s="12">
        <v>17</v>
      </c>
      <c r="N83" s="12">
        <v>45</v>
      </c>
      <c r="O83" s="12">
        <v>120</v>
      </c>
      <c r="P83" s="12">
        <v>1234</v>
      </c>
      <c r="Q83" s="12">
        <v>765</v>
      </c>
      <c r="R83" s="12">
        <v>1999</v>
      </c>
    </row>
    <row r="84" spans="1:18" x14ac:dyDescent="0.25">
      <c r="A84" s="13">
        <v>42494</v>
      </c>
      <c r="B84" s="12">
        <v>4</v>
      </c>
      <c r="C84" s="12" t="s">
        <v>30</v>
      </c>
      <c r="D84" s="12">
        <v>2016</v>
      </c>
      <c r="E84" s="12">
        <v>47</v>
      </c>
      <c r="F84" s="12" t="s">
        <v>27</v>
      </c>
      <c r="G84" s="12" t="s">
        <v>31</v>
      </c>
      <c r="H84" s="12" t="s">
        <v>39</v>
      </c>
      <c r="I84" s="12" t="s">
        <v>42</v>
      </c>
      <c r="J84" s="12" t="s">
        <v>23</v>
      </c>
      <c r="K84" s="12" t="s">
        <v>24</v>
      </c>
      <c r="L84" s="12" t="s">
        <v>25</v>
      </c>
      <c r="M84" s="12">
        <v>16</v>
      </c>
      <c r="N84" s="12">
        <v>45</v>
      </c>
      <c r="O84" s="12">
        <v>120</v>
      </c>
      <c r="P84" s="12">
        <v>1162</v>
      </c>
      <c r="Q84" s="12">
        <v>720</v>
      </c>
      <c r="R84" s="12">
        <v>1882</v>
      </c>
    </row>
    <row r="85" spans="1:18" x14ac:dyDescent="0.25">
      <c r="A85" s="13">
        <v>41674</v>
      </c>
      <c r="B85" s="12">
        <v>4</v>
      </c>
      <c r="C85" s="12" t="s">
        <v>33</v>
      </c>
      <c r="D85" s="12">
        <v>2014</v>
      </c>
      <c r="E85" s="12">
        <v>46</v>
      </c>
      <c r="F85" s="12" t="s">
        <v>27</v>
      </c>
      <c r="G85" s="12" t="s">
        <v>20</v>
      </c>
      <c r="H85" s="12" t="s">
        <v>39</v>
      </c>
      <c r="I85" s="12" t="s">
        <v>53</v>
      </c>
      <c r="J85" s="12" t="s">
        <v>23</v>
      </c>
      <c r="K85" s="12" t="s">
        <v>24</v>
      </c>
      <c r="L85" s="12" t="s">
        <v>25</v>
      </c>
      <c r="M85" s="12">
        <v>1</v>
      </c>
      <c r="N85" s="12">
        <v>45</v>
      </c>
      <c r="O85" s="12">
        <v>120</v>
      </c>
      <c r="P85" s="12">
        <v>49</v>
      </c>
      <c r="Q85" s="12">
        <v>45</v>
      </c>
      <c r="R85" s="12">
        <v>94</v>
      </c>
    </row>
    <row r="86" spans="1:18" x14ac:dyDescent="0.25">
      <c r="A86" s="13">
        <v>42404</v>
      </c>
      <c r="B86" s="12">
        <v>4</v>
      </c>
      <c r="C86" s="12" t="s">
        <v>33</v>
      </c>
      <c r="D86" s="12">
        <v>2016</v>
      </c>
      <c r="E86" s="12">
        <v>46</v>
      </c>
      <c r="F86" s="12" t="s">
        <v>27</v>
      </c>
      <c r="G86" s="12" t="s">
        <v>20</v>
      </c>
      <c r="H86" s="12" t="s">
        <v>39</v>
      </c>
      <c r="I86" s="12" t="s">
        <v>53</v>
      </c>
      <c r="J86" s="12" t="s">
        <v>23</v>
      </c>
      <c r="K86" s="12" t="s">
        <v>24</v>
      </c>
      <c r="L86" s="12" t="s">
        <v>25</v>
      </c>
      <c r="M86" s="12">
        <v>3</v>
      </c>
      <c r="N86" s="12">
        <v>45</v>
      </c>
      <c r="O86" s="12">
        <v>120</v>
      </c>
      <c r="P86" s="12">
        <v>146</v>
      </c>
      <c r="Q86" s="12">
        <v>135</v>
      </c>
      <c r="R86" s="12">
        <v>281</v>
      </c>
    </row>
    <row r="87" spans="1:18" x14ac:dyDescent="0.25">
      <c r="A87" s="13">
        <v>41584</v>
      </c>
      <c r="B87" s="12">
        <v>6</v>
      </c>
      <c r="C87" s="12" t="s">
        <v>18</v>
      </c>
      <c r="D87" s="12">
        <v>2013</v>
      </c>
      <c r="E87" s="12">
        <v>46</v>
      </c>
      <c r="F87" s="12" t="s">
        <v>27</v>
      </c>
      <c r="G87" s="12" t="s">
        <v>20</v>
      </c>
      <c r="H87" s="12" t="s">
        <v>39</v>
      </c>
      <c r="I87" s="12" t="s">
        <v>42</v>
      </c>
      <c r="J87" s="12" t="s">
        <v>23</v>
      </c>
      <c r="K87" s="12" t="s">
        <v>24</v>
      </c>
      <c r="L87" s="12" t="s">
        <v>25</v>
      </c>
      <c r="M87" s="12">
        <v>5</v>
      </c>
      <c r="N87" s="12">
        <v>45</v>
      </c>
      <c r="O87" s="12">
        <v>120</v>
      </c>
      <c r="P87" s="12">
        <v>363</v>
      </c>
      <c r="Q87" s="12">
        <v>225</v>
      </c>
      <c r="R87" s="12">
        <v>588</v>
      </c>
    </row>
    <row r="88" spans="1:18" x14ac:dyDescent="0.25">
      <c r="A88" s="13">
        <v>42314</v>
      </c>
      <c r="B88" s="12">
        <v>6</v>
      </c>
      <c r="C88" s="12" t="s">
        <v>18</v>
      </c>
      <c r="D88" s="12">
        <v>2015</v>
      </c>
      <c r="E88" s="12">
        <v>46</v>
      </c>
      <c r="F88" s="12" t="s">
        <v>27</v>
      </c>
      <c r="G88" s="12" t="s">
        <v>20</v>
      </c>
      <c r="H88" s="12" t="s">
        <v>39</v>
      </c>
      <c r="I88" s="12" t="s">
        <v>42</v>
      </c>
      <c r="J88" s="12" t="s">
        <v>23</v>
      </c>
      <c r="K88" s="12" t="s">
        <v>24</v>
      </c>
      <c r="L88" s="12" t="s">
        <v>25</v>
      </c>
      <c r="M88" s="12">
        <v>4</v>
      </c>
      <c r="N88" s="12">
        <v>45</v>
      </c>
      <c r="O88" s="12">
        <v>120</v>
      </c>
      <c r="P88" s="12">
        <v>290</v>
      </c>
      <c r="Q88" s="12">
        <v>180</v>
      </c>
      <c r="R88" s="12">
        <v>470</v>
      </c>
    </row>
    <row r="89" spans="1:18" x14ac:dyDescent="0.25">
      <c r="A89" s="13">
        <v>41682</v>
      </c>
      <c r="B89" s="12">
        <v>12</v>
      </c>
      <c r="C89" s="12" t="s">
        <v>33</v>
      </c>
      <c r="D89" s="12">
        <v>2014</v>
      </c>
      <c r="E89" s="12">
        <v>46</v>
      </c>
      <c r="F89" s="12" t="s">
        <v>27</v>
      </c>
      <c r="G89" s="12" t="s">
        <v>20</v>
      </c>
      <c r="H89" s="12" t="s">
        <v>39</v>
      </c>
      <c r="I89" s="12" t="s">
        <v>42</v>
      </c>
      <c r="J89" s="12" t="s">
        <v>23</v>
      </c>
      <c r="K89" s="12" t="s">
        <v>24</v>
      </c>
      <c r="L89" s="12" t="s">
        <v>25</v>
      </c>
      <c r="M89" s="12">
        <v>30</v>
      </c>
      <c r="N89" s="12">
        <v>45</v>
      </c>
      <c r="O89" s="12">
        <v>120</v>
      </c>
      <c r="P89" s="12">
        <v>2178</v>
      </c>
      <c r="Q89" s="12">
        <v>1350</v>
      </c>
      <c r="R89" s="12">
        <v>3528</v>
      </c>
    </row>
    <row r="90" spans="1:18" x14ac:dyDescent="0.25">
      <c r="A90" s="13">
        <v>42412</v>
      </c>
      <c r="B90" s="12">
        <v>12</v>
      </c>
      <c r="C90" s="12" t="s">
        <v>33</v>
      </c>
      <c r="D90" s="12">
        <v>2016</v>
      </c>
      <c r="E90" s="12">
        <v>46</v>
      </c>
      <c r="F90" s="12" t="s">
        <v>27</v>
      </c>
      <c r="G90" s="12" t="s">
        <v>20</v>
      </c>
      <c r="H90" s="12" t="s">
        <v>39</v>
      </c>
      <c r="I90" s="12" t="s">
        <v>42</v>
      </c>
      <c r="J90" s="12" t="s">
        <v>23</v>
      </c>
      <c r="K90" s="12" t="s">
        <v>24</v>
      </c>
      <c r="L90" s="12" t="s">
        <v>25</v>
      </c>
      <c r="M90" s="12">
        <v>27</v>
      </c>
      <c r="N90" s="12">
        <v>45</v>
      </c>
      <c r="O90" s="12">
        <v>120</v>
      </c>
      <c r="P90" s="12">
        <v>1960</v>
      </c>
      <c r="Q90" s="12">
        <v>1215</v>
      </c>
      <c r="R90" s="12">
        <v>3175</v>
      </c>
    </row>
    <row r="91" spans="1:18" x14ac:dyDescent="0.25">
      <c r="A91" s="13">
        <v>41776</v>
      </c>
      <c r="B91" s="12">
        <v>17</v>
      </c>
      <c r="C91" s="12" t="s">
        <v>30</v>
      </c>
      <c r="D91" s="12">
        <v>2014</v>
      </c>
      <c r="E91" s="12">
        <v>46</v>
      </c>
      <c r="F91" s="12" t="s">
        <v>27</v>
      </c>
      <c r="G91" s="12" t="s">
        <v>20</v>
      </c>
      <c r="H91" s="12" t="s">
        <v>39</v>
      </c>
      <c r="I91" s="12" t="s">
        <v>42</v>
      </c>
      <c r="J91" s="12" t="s">
        <v>23</v>
      </c>
      <c r="K91" s="12" t="s">
        <v>24</v>
      </c>
      <c r="L91" s="12" t="s">
        <v>25</v>
      </c>
      <c r="M91" s="12">
        <v>5</v>
      </c>
      <c r="N91" s="12">
        <v>45</v>
      </c>
      <c r="O91" s="12">
        <v>120</v>
      </c>
      <c r="P91" s="12">
        <v>363</v>
      </c>
      <c r="Q91" s="12">
        <v>225</v>
      </c>
      <c r="R91" s="12">
        <v>588</v>
      </c>
    </row>
    <row r="92" spans="1:18" x14ac:dyDescent="0.25">
      <c r="A92" s="13">
        <v>41540</v>
      </c>
      <c r="B92" s="12">
        <v>23</v>
      </c>
      <c r="C92" s="12" t="s">
        <v>37</v>
      </c>
      <c r="D92" s="12">
        <v>2013</v>
      </c>
      <c r="E92" s="12">
        <v>41</v>
      </c>
      <c r="F92" s="12" t="s">
        <v>27</v>
      </c>
      <c r="G92" s="12" t="s">
        <v>31</v>
      </c>
      <c r="H92" s="12" t="s">
        <v>43</v>
      </c>
      <c r="I92" s="12" t="s">
        <v>54</v>
      </c>
      <c r="J92" s="12" t="s">
        <v>23</v>
      </c>
      <c r="K92" s="12" t="s">
        <v>24</v>
      </c>
      <c r="L92" s="12" t="s">
        <v>25</v>
      </c>
      <c r="M92" s="12">
        <v>28</v>
      </c>
      <c r="N92" s="12">
        <v>45</v>
      </c>
      <c r="O92" s="12">
        <v>120</v>
      </c>
      <c r="P92" s="12">
        <v>1865</v>
      </c>
      <c r="Q92" s="12">
        <v>1260</v>
      </c>
      <c r="R92" s="12">
        <v>3125</v>
      </c>
    </row>
    <row r="93" spans="1:18" x14ac:dyDescent="0.25">
      <c r="A93" s="13">
        <v>42270</v>
      </c>
      <c r="B93" s="12">
        <v>23</v>
      </c>
      <c r="C93" s="12" t="s">
        <v>37</v>
      </c>
      <c r="D93" s="12">
        <v>2015</v>
      </c>
      <c r="E93" s="12">
        <v>41</v>
      </c>
      <c r="F93" s="12" t="s">
        <v>27</v>
      </c>
      <c r="G93" s="12" t="s">
        <v>31</v>
      </c>
      <c r="H93" s="12" t="s">
        <v>43</v>
      </c>
      <c r="I93" s="12" t="s">
        <v>54</v>
      </c>
      <c r="J93" s="12" t="s">
        <v>23</v>
      </c>
      <c r="K93" s="12" t="s">
        <v>24</v>
      </c>
      <c r="L93" s="12" t="s">
        <v>25</v>
      </c>
      <c r="M93" s="12">
        <v>29</v>
      </c>
      <c r="N93" s="12">
        <v>45</v>
      </c>
      <c r="O93" s="12">
        <v>120</v>
      </c>
      <c r="P93" s="12">
        <v>1931</v>
      </c>
      <c r="Q93" s="12">
        <v>1305</v>
      </c>
      <c r="R93" s="12">
        <v>3236</v>
      </c>
    </row>
    <row r="94" spans="1:18" x14ac:dyDescent="0.25">
      <c r="A94" s="13">
        <v>41537</v>
      </c>
      <c r="B94" s="12">
        <v>20</v>
      </c>
      <c r="C94" s="12" t="s">
        <v>37</v>
      </c>
      <c r="D94" s="12">
        <v>2013</v>
      </c>
      <c r="E94" s="12">
        <v>32</v>
      </c>
      <c r="F94" s="12" t="s">
        <v>35</v>
      </c>
      <c r="G94" s="12" t="s">
        <v>20</v>
      </c>
      <c r="H94" s="12" t="s">
        <v>39</v>
      </c>
      <c r="I94" s="12" t="s">
        <v>53</v>
      </c>
      <c r="J94" s="12" t="s">
        <v>23</v>
      </c>
      <c r="K94" s="12" t="s">
        <v>24</v>
      </c>
      <c r="L94" s="12" t="s">
        <v>25</v>
      </c>
      <c r="M94" s="12">
        <v>3</v>
      </c>
      <c r="N94" s="12">
        <v>45</v>
      </c>
      <c r="O94" s="12">
        <v>120</v>
      </c>
      <c r="P94" s="12">
        <v>146</v>
      </c>
      <c r="Q94" s="12">
        <v>135</v>
      </c>
      <c r="R94" s="12">
        <v>281</v>
      </c>
    </row>
    <row r="95" spans="1:18" x14ac:dyDescent="0.25">
      <c r="A95" s="13">
        <v>42267</v>
      </c>
      <c r="B95" s="12">
        <v>20</v>
      </c>
      <c r="C95" s="12" t="s">
        <v>37</v>
      </c>
      <c r="D95" s="12">
        <v>2015</v>
      </c>
      <c r="E95" s="12">
        <v>32</v>
      </c>
      <c r="F95" s="12" t="s">
        <v>35</v>
      </c>
      <c r="G95" s="12" t="s">
        <v>20</v>
      </c>
      <c r="H95" s="12" t="s">
        <v>39</v>
      </c>
      <c r="I95" s="12" t="s">
        <v>53</v>
      </c>
      <c r="J95" s="12" t="s">
        <v>23</v>
      </c>
      <c r="K95" s="12" t="s">
        <v>24</v>
      </c>
      <c r="L95" s="12" t="s">
        <v>25</v>
      </c>
      <c r="M95" s="12">
        <v>1</v>
      </c>
      <c r="N95" s="12">
        <v>45</v>
      </c>
      <c r="O95" s="12">
        <v>120</v>
      </c>
      <c r="P95" s="12">
        <v>49</v>
      </c>
      <c r="Q95" s="12">
        <v>45</v>
      </c>
      <c r="R95" s="12">
        <v>94</v>
      </c>
    </row>
    <row r="96" spans="1:18" x14ac:dyDescent="0.25">
      <c r="A96" s="13">
        <v>41572</v>
      </c>
      <c r="B96" s="12">
        <v>25</v>
      </c>
      <c r="C96" s="12" t="s">
        <v>55</v>
      </c>
      <c r="D96" s="12">
        <v>2013</v>
      </c>
      <c r="E96" s="12">
        <v>32</v>
      </c>
      <c r="F96" s="12" t="s">
        <v>35</v>
      </c>
      <c r="G96" s="12" t="s">
        <v>20</v>
      </c>
      <c r="H96" s="12" t="s">
        <v>39</v>
      </c>
      <c r="I96" s="12" t="s">
        <v>42</v>
      </c>
      <c r="J96" s="12" t="s">
        <v>23</v>
      </c>
      <c r="K96" s="12" t="s">
        <v>24</v>
      </c>
      <c r="L96" s="12" t="s">
        <v>25</v>
      </c>
      <c r="M96" s="12">
        <v>8</v>
      </c>
      <c r="N96" s="12">
        <v>45</v>
      </c>
      <c r="O96" s="12">
        <v>120</v>
      </c>
      <c r="P96" s="12">
        <v>581</v>
      </c>
      <c r="Q96" s="12">
        <v>360</v>
      </c>
      <c r="R96" s="12">
        <v>941</v>
      </c>
    </row>
    <row r="99" spans="3:3" ht="23.25" x14ac:dyDescent="0.35">
      <c r="C99"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R108"/>
  <sheetViews>
    <sheetView tabSelected="1" workbookViewId="0">
      <selection activeCell="E36" sqref="E36"/>
    </sheetView>
  </sheetViews>
  <sheetFormatPr defaultRowHeight="15" x14ac:dyDescent="0.25"/>
  <cols>
    <col min="1" max="1" width="17.28515625" customWidth="1"/>
    <col min="2" max="2" width="11.28515625" customWidth="1"/>
    <col min="3" max="3" width="11.7109375" customWidth="1"/>
    <col min="4" max="4" width="11.42578125" customWidth="1"/>
    <col min="5" max="5" width="14.7109375" customWidth="1"/>
    <col min="6" max="6" width="14.28515625" customWidth="1"/>
    <col min="7" max="7" width="11.28515625" customWidth="1"/>
    <col min="8" max="8" width="12.5703125" customWidth="1"/>
    <col min="9" max="9" width="18.7109375" customWidth="1"/>
    <col min="10" max="10" width="13.42578125" customWidth="1"/>
    <col min="11" max="11" width="15.42578125" customWidth="1"/>
    <col min="12" max="12" width="17.5703125" customWidth="1"/>
    <col min="13" max="13" width="13.85546875" customWidth="1"/>
    <col min="14" max="14" width="16.42578125" customWidth="1"/>
    <col min="15" max="15" width="16.28515625" customWidth="1"/>
    <col min="16" max="16" width="14.85546875" customWidth="1"/>
    <col min="17" max="17" width="15.140625" customWidth="1"/>
    <col min="18" max="18" width="17.140625" customWidth="1"/>
  </cols>
  <sheetData>
    <row r="1" spans="1:18" x14ac:dyDescent="0.25">
      <c r="A1" s="16"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row>
    <row r="2" spans="1:18" x14ac:dyDescent="0.25">
      <c r="A2" s="13">
        <v>41604</v>
      </c>
      <c r="B2" s="12">
        <v>26</v>
      </c>
      <c r="C2" s="12" t="s">
        <v>18</v>
      </c>
      <c r="D2" s="12">
        <v>2013</v>
      </c>
      <c r="E2" s="12">
        <v>19</v>
      </c>
      <c r="F2" s="12" t="s">
        <v>19</v>
      </c>
      <c r="G2" s="12" t="s">
        <v>20</v>
      </c>
      <c r="H2" s="12" t="s">
        <v>21</v>
      </c>
      <c r="I2" s="12" t="s">
        <v>22</v>
      </c>
      <c r="J2" s="12" t="s">
        <v>23</v>
      </c>
      <c r="K2" s="12" t="s">
        <v>24</v>
      </c>
      <c r="L2" s="12" t="s">
        <v>25</v>
      </c>
      <c r="M2" s="12">
        <v>8</v>
      </c>
      <c r="N2" s="12">
        <v>45</v>
      </c>
      <c r="O2" s="12">
        <v>120</v>
      </c>
      <c r="P2" s="12">
        <v>590</v>
      </c>
      <c r="Q2" s="12">
        <v>360</v>
      </c>
      <c r="R2" s="12">
        <v>950</v>
      </c>
    </row>
    <row r="3" spans="1:18" x14ac:dyDescent="0.25">
      <c r="A3" s="13">
        <v>42334</v>
      </c>
      <c r="B3" s="12">
        <v>26</v>
      </c>
      <c r="C3" s="12" t="s">
        <v>18</v>
      </c>
      <c r="D3" s="12">
        <v>2015</v>
      </c>
      <c r="E3" s="12">
        <v>19</v>
      </c>
      <c r="F3" s="12" t="s">
        <v>19</v>
      </c>
      <c r="G3" s="12" t="s">
        <v>20</v>
      </c>
      <c r="H3" s="12" t="s">
        <v>21</v>
      </c>
      <c r="I3" s="12" t="s">
        <v>22</v>
      </c>
      <c r="J3" s="12" t="s">
        <v>23</v>
      </c>
      <c r="K3" s="12" t="s">
        <v>24</v>
      </c>
      <c r="L3" s="12" t="s">
        <v>25</v>
      </c>
      <c r="M3" s="12">
        <v>8</v>
      </c>
      <c r="N3" s="12">
        <v>45</v>
      </c>
      <c r="O3" s="12">
        <v>120</v>
      </c>
      <c r="P3" s="12">
        <v>590</v>
      </c>
      <c r="Q3" s="12">
        <v>360</v>
      </c>
      <c r="R3" s="12">
        <v>950</v>
      </c>
    </row>
    <row r="4" spans="1:18" x14ac:dyDescent="0.25">
      <c r="A4" s="13">
        <v>41721</v>
      </c>
      <c r="B4" s="12">
        <v>23</v>
      </c>
      <c r="C4" s="12" t="s">
        <v>26</v>
      </c>
      <c r="D4" s="12">
        <v>2014</v>
      </c>
      <c r="E4" s="12">
        <v>49</v>
      </c>
      <c r="F4" s="12" t="s">
        <v>27</v>
      </c>
      <c r="G4" s="12" t="s">
        <v>20</v>
      </c>
      <c r="H4" s="12" t="s">
        <v>28</v>
      </c>
      <c r="I4" s="12" t="s">
        <v>29</v>
      </c>
      <c r="J4" s="12" t="s">
        <v>23</v>
      </c>
      <c r="K4" s="12" t="s">
        <v>24</v>
      </c>
      <c r="L4" s="12" t="s">
        <v>25</v>
      </c>
      <c r="M4" s="12">
        <v>23</v>
      </c>
      <c r="N4" s="12">
        <v>45</v>
      </c>
      <c r="O4" s="12">
        <v>120</v>
      </c>
      <c r="P4" s="12">
        <v>1366</v>
      </c>
      <c r="Q4" s="12">
        <v>1035</v>
      </c>
      <c r="R4" s="12">
        <v>2401</v>
      </c>
    </row>
    <row r="5" spans="1:18" x14ac:dyDescent="0.25">
      <c r="A5" s="13">
        <v>42452</v>
      </c>
      <c r="B5" s="12">
        <v>23</v>
      </c>
      <c r="C5" s="12" t="s">
        <v>26</v>
      </c>
      <c r="D5" s="12">
        <v>2016</v>
      </c>
      <c r="E5" s="12">
        <v>49</v>
      </c>
      <c r="F5" s="12" t="s">
        <v>27</v>
      </c>
      <c r="G5" s="12" t="s">
        <v>20</v>
      </c>
      <c r="H5" s="12" t="s">
        <v>28</v>
      </c>
      <c r="I5" s="12" t="s">
        <v>29</v>
      </c>
      <c r="J5" s="12" t="s">
        <v>23</v>
      </c>
      <c r="K5" s="12" t="s">
        <v>24</v>
      </c>
      <c r="L5" s="12" t="s">
        <v>25</v>
      </c>
      <c r="M5" s="12">
        <v>20</v>
      </c>
      <c r="N5" s="12">
        <v>45</v>
      </c>
      <c r="O5" s="12">
        <v>120</v>
      </c>
      <c r="P5" s="12">
        <v>1188</v>
      </c>
      <c r="Q5" s="12">
        <v>900</v>
      </c>
      <c r="R5" s="12">
        <v>2088</v>
      </c>
    </row>
    <row r="6" spans="1:18" x14ac:dyDescent="0.25">
      <c r="A6" s="13">
        <v>41774</v>
      </c>
      <c r="B6" s="12">
        <v>15</v>
      </c>
      <c r="C6" s="12" t="s">
        <v>30</v>
      </c>
      <c r="D6" s="12">
        <v>2014</v>
      </c>
      <c r="E6" s="12">
        <v>47</v>
      </c>
      <c r="F6" s="12" t="s">
        <v>27</v>
      </c>
      <c r="G6" s="12" t="s">
        <v>31</v>
      </c>
      <c r="H6" s="12" t="s">
        <v>28</v>
      </c>
      <c r="I6" s="12" t="s">
        <v>29</v>
      </c>
      <c r="J6" s="12" t="s">
        <v>23</v>
      </c>
      <c r="K6" s="12" t="s">
        <v>24</v>
      </c>
      <c r="L6" s="12" t="s">
        <v>25</v>
      </c>
      <c r="M6" s="12">
        <v>4</v>
      </c>
      <c r="N6" s="12">
        <v>45</v>
      </c>
      <c r="O6" s="12">
        <v>120</v>
      </c>
      <c r="P6" s="12">
        <v>238</v>
      </c>
      <c r="Q6" s="12">
        <v>180</v>
      </c>
      <c r="R6" s="12">
        <v>418</v>
      </c>
    </row>
    <row r="7" spans="1:18" x14ac:dyDescent="0.25">
      <c r="A7" s="13">
        <v>42505</v>
      </c>
      <c r="B7" s="12">
        <v>15</v>
      </c>
      <c r="C7" s="12" t="s">
        <v>30</v>
      </c>
      <c r="D7" s="12">
        <v>2016</v>
      </c>
      <c r="E7" s="12">
        <v>47</v>
      </c>
      <c r="F7" s="12" t="s">
        <v>27</v>
      </c>
      <c r="G7" s="12" t="s">
        <v>31</v>
      </c>
      <c r="H7" s="12" t="s">
        <v>28</v>
      </c>
      <c r="I7" s="12" t="s">
        <v>29</v>
      </c>
      <c r="J7" s="12" t="s">
        <v>23</v>
      </c>
      <c r="K7" s="12" t="s">
        <v>24</v>
      </c>
      <c r="L7" s="12" t="s">
        <v>25</v>
      </c>
      <c r="M7" s="12">
        <v>5</v>
      </c>
      <c r="N7" s="12">
        <v>45</v>
      </c>
      <c r="O7" s="12">
        <v>120</v>
      </c>
      <c r="P7" s="12">
        <v>297</v>
      </c>
      <c r="Q7" s="12">
        <v>225</v>
      </c>
      <c r="R7" s="12">
        <v>522</v>
      </c>
    </row>
    <row r="8" spans="1:18" x14ac:dyDescent="0.25">
      <c r="A8" s="13">
        <v>41781</v>
      </c>
      <c r="B8" s="12">
        <v>22</v>
      </c>
      <c r="C8" s="12" t="s">
        <v>30</v>
      </c>
      <c r="D8" s="12">
        <v>2014</v>
      </c>
      <c r="E8" s="12">
        <v>47</v>
      </c>
      <c r="F8" s="12" t="s">
        <v>27</v>
      </c>
      <c r="G8" s="12" t="s">
        <v>31</v>
      </c>
      <c r="H8" s="12" t="s">
        <v>28</v>
      </c>
      <c r="I8" s="12" t="s">
        <v>32</v>
      </c>
      <c r="J8" s="12" t="s">
        <v>23</v>
      </c>
      <c r="K8" s="12" t="s">
        <v>24</v>
      </c>
      <c r="L8" s="12" t="s">
        <v>25</v>
      </c>
      <c r="M8" s="12">
        <v>4</v>
      </c>
      <c r="N8" s="12">
        <v>45</v>
      </c>
      <c r="O8" s="12">
        <v>120</v>
      </c>
      <c r="P8" s="12">
        <v>199</v>
      </c>
      <c r="Q8" s="12">
        <v>180</v>
      </c>
      <c r="R8" s="12">
        <v>379</v>
      </c>
    </row>
    <row r="9" spans="1:18" x14ac:dyDescent="0.25">
      <c r="A9" s="13">
        <v>42512</v>
      </c>
      <c r="B9" s="12">
        <v>22</v>
      </c>
      <c r="C9" s="12" t="s">
        <v>30</v>
      </c>
      <c r="D9" s="12">
        <v>2016</v>
      </c>
      <c r="E9" s="12">
        <v>47</v>
      </c>
      <c r="F9" s="12" t="s">
        <v>27</v>
      </c>
      <c r="G9" s="12" t="s">
        <v>31</v>
      </c>
      <c r="H9" s="12" t="s">
        <v>28</v>
      </c>
      <c r="I9" s="12" t="s">
        <v>32</v>
      </c>
      <c r="J9" s="12" t="s">
        <v>23</v>
      </c>
      <c r="K9" s="12" t="s">
        <v>24</v>
      </c>
      <c r="L9" s="12" t="s">
        <v>25</v>
      </c>
      <c r="M9" s="12">
        <v>2</v>
      </c>
      <c r="N9" s="12">
        <v>45</v>
      </c>
      <c r="O9" s="12">
        <v>120</v>
      </c>
      <c r="P9" s="12">
        <v>100</v>
      </c>
      <c r="Q9" s="12">
        <v>90</v>
      </c>
      <c r="R9" s="12">
        <v>190</v>
      </c>
    </row>
    <row r="10" spans="1:18" x14ac:dyDescent="0.25">
      <c r="A10" s="13">
        <v>41692</v>
      </c>
      <c r="B10" s="12">
        <v>22</v>
      </c>
      <c r="C10" s="12" t="s">
        <v>33</v>
      </c>
      <c r="D10" s="12">
        <v>2014</v>
      </c>
      <c r="E10" s="12">
        <v>35</v>
      </c>
      <c r="F10" s="12" t="s">
        <v>27</v>
      </c>
      <c r="G10" s="12" t="s">
        <v>20</v>
      </c>
      <c r="H10" s="12" t="s">
        <v>28</v>
      </c>
      <c r="I10" s="12" t="s">
        <v>32</v>
      </c>
      <c r="J10" s="12" t="s">
        <v>23</v>
      </c>
      <c r="K10" s="12" t="s">
        <v>24</v>
      </c>
      <c r="L10" s="12" t="s">
        <v>25</v>
      </c>
      <c r="M10" s="12">
        <v>22</v>
      </c>
      <c r="N10" s="12">
        <v>45</v>
      </c>
      <c r="O10" s="12">
        <v>120</v>
      </c>
      <c r="P10" s="12">
        <v>1096</v>
      </c>
      <c r="Q10" s="12">
        <v>990</v>
      </c>
      <c r="R10" s="12">
        <v>2086</v>
      </c>
    </row>
    <row r="11" spans="1:18" x14ac:dyDescent="0.25">
      <c r="A11" s="13">
        <v>42422</v>
      </c>
      <c r="B11" s="12">
        <v>22</v>
      </c>
      <c r="C11" s="12" t="s">
        <v>33</v>
      </c>
      <c r="D11" s="12">
        <v>2016</v>
      </c>
      <c r="E11" s="12">
        <v>35</v>
      </c>
      <c r="F11" s="12" t="s">
        <v>27</v>
      </c>
      <c r="G11" s="12" t="s">
        <v>20</v>
      </c>
      <c r="H11" s="12" t="s">
        <v>28</v>
      </c>
      <c r="I11" s="12" t="s">
        <v>32</v>
      </c>
      <c r="J11" s="12" t="s">
        <v>23</v>
      </c>
      <c r="K11" s="12" t="s">
        <v>24</v>
      </c>
      <c r="L11" s="12" t="s">
        <v>25</v>
      </c>
      <c r="M11" s="12">
        <v>21</v>
      </c>
      <c r="N11" s="12">
        <v>45</v>
      </c>
      <c r="O11" s="12">
        <v>120</v>
      </c>
      <c r="P11" s="12">
        <v>1046</v>
      </c>
      <c r="Q11" s="12">
        <v>945</v>
      </c>
      <c r="R11" s="12">
        <v>1991</v>
      </c>
    </row>
    <row r="12" spans="1:18" x14ac:dyDescent="0.25">
      <c r="A12" s="13">
        <v>41485</v>
      </c>
      <c r="B12" s="12">
        <v>30</v>
      </c>
      <c r="C12" s="12" t="s">
        <v>34</v>
      </c>
      <c r="D12" s="12">
        <v>2013</v>
      </c>
      <c r="E12" s="12">
        <v>32</v>
      </c>
      <c r="F12" s="12" t="s">
        <v>35</v>
      </c>
      <c r="G12" s="12" t="s">
        <v>31</v>
      </c>
      <c r="H12" s="12" t="s">
        <v>28</v>
      </c>
      <c r="I12" s="12" t="s">
        <v>32</v>
      </c>
      <c r="J12" s="12" t="s">
        <v>23</v>
      </c>
      <c r="K12" s="12" t="s">
        <v>24</v>
      </c>
      <c r="L12" s="12" t="s">
        <v>25</v>
      </c>
      <c r="M12" s="12">
        <v>8</v>
      </c>
      <c r="N12" s="12">
        <v>45</v>
      </c>
      <c r="O12" s="12">
        <v>120</v>
      </c>
      <c r="P12" s="12">
        <v>398</v>
      </c>
      <c r="Q12" s="12">
        <v>360</v>
      </c>
      <c r="R12" s="12">
        <v>758</v>
      </c>
    </row>
    <row r="13" spans="1:18" x14ac:dyDescent="0.25">
      <c r="A13" s="13">
        <v>42215</v>
      </c>
      <c r="B13" s="12">
        <v>30</v>
      </c>
      <c r="C13" s="12" t="s">
        <v>34</v>
      </c>
      <c r="D13" s="12">
        <v>2015</v>
      </c>
      <c r="E13" s="12">
        <v>32</v>
      </c>
      <c r="F13" s="12" t="s">
        <v>35</v>
      </c>
      <c r="G13" s="12" t="s">
        <v>31</v>
      </c>
      <c r="H13" s="12" t="s">
        <v>28</v>
      </c>
      <c r="I13" s="12" t="s">
        <v>32</v>
      </c>
      <c r="J13" s="12" t="s">
        <v>23</v>
      </c>
      <c r="K13" s="12" t="s">
        <v>24</v>
      </c>
      <c r="L13" s="12" t="s">
        <v>25</v>
      </c>
      <c r="M13" s="12">
        <v>8</v>
      </c>
      <c r="N13" s="12">
        <v>45</v>
      </c>
      <c r="O13" s="12">
        <v>120</v>
      </c>
      <c r="P13" s="12">
        <v>398</v>
      </c>
      <c r="Q13" s="12">
        <v>360</v>
      </c>
      <c r="R13" s="12">
        <v>758</v>
      </c>
    </row>
    <row r="14" spans="1:18" x14ac:dyDescent="0.25">
      <c r="A14" s="13">
        <v>41470</v>
      </c>
      <c r="B14" s="12">
        <v>15</v>
      </c>
      <c r="C14" s="12" t="s">
        <v>34</v>
      </c>
      <c r="D14" s="12">
        <v>2013</v>
      </c>
      <c r="E14" s="12">
        <v>34</v>
      </c>
      <c r="F14" s="12" t="s">
        <v>35</v>
      </c>
      <c r="G14" s="12" t="s">
        <v>20</v>
      </c>
      <c r="H14" s="12" t="s">
        <v>28</v>
      </c>
      <c r="I14" s="12" t="s">
        <v>32</v>
      </c>
      <c r="J14" s="12" t="s">
        <v>23</v>
      </c>
      <c r="K14" s="12" t="s">
        <v>24</v>
      </c>
      <c r="L14" s="12" t="s">
        <v>25</v>
      </c>
      <c r="M14" s="12">
        <v>7</v>
      </c>
      <c r="N14" s="12">
        <v>45</v>
      </c>
      <c r="O14" s="12">
        <v>120</v>
      </c>
      <c r="P14" s="12">
        <v>349</v>
      </c>
      <c r="Q14" s="12">
        <v>315</v>
      </c>
      <c r="R14" s="12">
        <v>664</v>
      </c>
    </row>
    <row r="15" spans="1:18" x14ac:dyDescent="0.25">
      <c r="A15" s="13">
        <v>42200</v>
      </c>
      <c r="B15" s="12">
        <v>15</v>
      </c>
      <c r="C15" s="12" t="s">
        <v>34</v>
      </c>
      <c r="D15" s="12">
        <v>2015</v>
      </c>
      <c r="E15" s="12">
        <v>34</v>
      </c>
      <c r="F15" s="12" t="s">
        <v>35</v>
      </c>
      <c r="G15" s="12" t="s">
        <v>20</v>
      </c>
      <c r="H15" s="12" t="s">
        <v>28</v>
      </c>
      <c r="I15" s="12" t="s">
        <v>32</v>
      </c>
      <c r="J15" s="12" t="s">
        <v>23</v>
      </c>
      <c r="K15" s="12" t="s">
        <v>24</v>
      </c>
      <c r="L15" s="12" t="s">
        <v>25</v>
      </c>
      <c r="M15" s="12">
        <v>7</v>
      </c>
      <c r="N15" s="12">
        <v>45</v>
      </c>
      <c r="O15" s="12">
        <v>120</v>
      </c>
      <c r="P15" s="12">
        <v>349</v>
      </c>
      <c r="Q15" s="12">
        <v>315</v>
      </c>
      <c r="R15" s="12">
        <v>664</v>
      </c>
    </row>
    <row r="16" spans="1:18" x14ac:dyDescent="0.25">
      <c r="A16" s="13">
        <v>41488</v>
      </c>
      <c r="B16" s="12">
        <v>2</v>
      </c>
      <c r="C16" s="12" t="s">
        <v>36</v>
      </c>
      <c r="D16" s="12">
        <v>2013</v>
      </c>
      <c r="E16" s="12">
        <v>29</v>
      </c>
      <c r="F16" s="12" t="s">
        <v>35</v>
      </c>
      <c r="G16" s="12" t="s">
        <v>20</v>
      </c>
      <c r="H16" s="12" t="s">
        <v>21</v>
      </c>
      <c r="I16" s="12" t="s">
        <v>22</v>
      </c>
      <c r="J16" s="12" t="s">
        <v>23</v>
      </c>
      <c r="K16" s="12" t="s">
        <v>24</v>
      </c>
      <c r="L16" s="12" t="s">
        <v>25</v>
      </c>
      <c r="M16" s="12">
        <v>5</v>
      </c>
      <c r="N16" s="12">
        <v>45</v>
      </c>
      <c r="O16" s="12">
        <v>120</v>
      </c>
      <c r="P16" s="12">
        <v>369</v>
      </c>
      <c r="Q16" s="12">
        <v>225</v>
      </c>
      <c r="R16" s="12">
        <v>594</v>
      </c>
    </row>
    <row r="17" spans="1:18" x14ac:dyDescent="0.25">
      <c r="A17" s="13">
        <v>42218</v>
      </c>
      <c r="B17" s="12">
        <v>2</v>
      </c>
      <c r="C17" s="12" t="s">
        <v>36</v>
      </c>
      <c r="D17" s="12">
        <v>2015</v>
      </c>
      <c r="E17" s="12">
        <v>29</v>
      </c>
      <c r="F17" s="12" t="s">
        <v>35</v>
      </c>
      <c r="G17" s="12" t="s">
        <v>20</v>
      </c>
      <c r="H17" s="12" t="s">
        <v>21</v>
      </c>
      <c r="I17" s="12" t="s">
        <v>22</v>
      </c>
      <c r="J17" s="12" t="s">
        <v>23</v>
      </c>
      <c r="K17" s="12" t="s">
        <v>24</v>
      </c>
      <c r="L17" s="12" t="s">
        <v>25</v>
      </c>
      <c r="M17" s="12">
        <v>7</v>
      </c>
      <c r="N17" s="12">
        <v>45</v>
      </c>
      <c r="O17" s="12">
        <v>120</v>
      </c>
      <c r="P17" s="12">
        <v>517</v>
      </c>
      <c r="Q17" s="12">
        <v>315</v>
      </c>
      <c r="R17" s="12">
        <v>832</v>
      </c>
    </row>
    <row r="18" spans="1:18" x14ac:dyDescent="0.25">
      <c r="A18" s="13">
        <v>41519</v>
      </c>
      <c r="B18" s="12">
        <v>2</v>
      </c>
      <c r="C18" s="12" t="s">
        <v>37</v>
      </c>
      <c r="D18" s="12">
        <v>2013</v>
      </c>
      <c r="E18" s="12">
        <v>29</v>
      </c>
      <c r="F18" s="12" t="s">
        <v>35</v>
      </c>
      <c r="G18" s="12" t="s">
        <v>20</v>
      </c>
      <c r="H18" s="12" t="s">
        <v>21</v>
      </c>
      <c r="I18" s="12" t="s">
        <v>22</v>
      </c>
      <c r="J18" s="12" t="s">
        <v>23</v>
      </c>
      <c r="K18" s="12" t="s">
        <v>24</v>
      </c>
      <c r="L18" s="12" t="s">
        <v>25</v>
      </c>
      <c r="M18" s="12">
        <v>2</v>
      </c>
      <c r="N18" s="12">
        <v>45</v>
      </c>
      <c r="O18" s="12">
        <v>120</v>
      </c>
      <c r="P18" s="12">
        <v>148</v>
      </c>
      <c r="Q18" s="12">
        <v>90</v>
      </c>
      <c r="R18" s="12">
        <v>238</v>
      </c>
    </row>
    <row r="19" spans="1:18" x14ac:dyDescent="0.25">
      <c r="A19" s="13">
        <v>42249</v>
      </c>
      <c r="B19" s="12">
        <v>2</v>
      </c>
      <c r="C19" s="12" t="s">
        <v>37</v>
      </c>
      <c r="D19" s="12">
        <v>2015</v>
      </c>
      <c r="E19" s="12">
        <v>29</v>
      </c>
      <c r="F19" s="12" t="s">
        <v>35</v>
      </c>
      <c r="G19" s="12" t="s">
        <v>20</v>
      </c>
      <c r="H19" s="12" t="s">
        <v>21</v>
      </c>
      <c r="I19" s="12" t="s">
        <v>22</v>
      </c>
      <c r="J19" s="12" t="s">
        <v>23</v>
      </c>
      <c r="K19" s="12" t="s">
        <v>24</v>
      </c>
      <c r="L19" s="12" t="s">
        <v>25</v>
      </c>
      <c r="M19" s="12">
        <v>1</v>
      </c>
      <c r="N19" s="12">
        <v>45</v>
      </c>
      <c r="O19" s="12">
        <v>120</v>
      </c>
      <c r="P19" s="12">
        <v>74</v>
      </c>
      <c r="Q19" s="12">
        <v>45</v>
      </c>
      <c r="R19" s="12">
        <v>119</v>
      </c>
    </row>
    <row r="20" spans="1:18" x14ac:dyDescent="0.25">
      <c r="A20" s="13">
        <v>41661</v>
      </c>
      <c r="B20" s="12">
        <v>22</v>
      </c>
      <c r="C20" s="12" t="s">
        <v>38</v>
      </c>
      <c r="D20" s="12">
        <v>2014</v>
      </c>
      <c r="E20" s="12">
        <v>29</v>
      </c>
      <c r="F20" s="12" t="s">
        <v>35</v>
      </c>
      <c r="G20" s="12" t="s">
        <v>20</v>
      </c>
      <c r="H20" s="12" t="s">
        <v>21</v>
      </c>
      <c r="I20" s="12" t="s">
        <v>22</v>
      </c>
      <c r="J20" s="12" t="s">
        <v>23</v>
      </c>
      <c r="K20" s="12" t="s">
        <v>24</v>
      </c>
      <c r="L20" s="12" t="s">
        <v>25</v>
      </c>
      <c r="M20" s="12">
        <v>1</v>
      </c>
      <c r="N20" s="12">
        <v>45</v>
      </c>
      <c r="O20" s="12">
        <v>120</v>
      </c>
      <c r="P20" s="12">
        <v>74</v>
      </c>
      <c r="Q20" s="12">
        <v>45</v>
      </c>
      <c r="R20" s="12">
        <v>119</v>
      </c>
    </row>
    <row r="21" spans="1:18" x14ac:dyDescent="0.25">
      <c r="A21" s="13">
        <v>42391</v>
      </c>
      <c r="B21" s="12">
        <v>22</v>
      </c>
      <c r="C21" s="12" t="s">
        <v>38</v>
      </c>
      <c r="D21" s="12">
        <v>2016</v>
      </c>
      <c r="E21" s="12">
        <v>29</v>
      </c>
      <c r="F21" s="12" t="s">
        <v>35</v>
      </c>
      <c r="G21" s="12" t="s">
        <v>20</v>
      </c>
      <c r="H21" s="12" t="s">
        <v>21</v>
      </c>
      <c r="I21" s="12" t="s">
        <v>22</v>
      </c>
      <c r="J21" s="12" t="s">
        <v>23</v>
      </c>
      <c r="K21" s="12" t="s">
        <v>24</v>
      </c>
      <c r="L21" s="12" t="s">
        <v>25</v>
      </c>
      <c r="M21" s="12">
        <v>1</v>
      </c>
      <c r="N21" s="12">
        <v>45</v>
      </c>
      <c r="O21" s="12">
        <v>120</v>
      </c>
      <c r="P21" s="12">
        <v>74</v>
      </c>
      <c r="Q21" s="12">
        <v>45</v>
      </c>
      <c r="R21" s="12">
        <v>119</v>
      </c>
    </row>
    <row r="22" spans="1:18" x14ac:dyDescent="0.25">
      <c r="A22" s="13">
        <v>41776</v>
      </c>
      <c r="B22" s="12">
        <v>17</v>
      </c>
      <c r="C22" s="12" t="s">
        <v>30</v>
      </c>
      <c r="D22" s="12">
        <v>2014</v>
      </c>
      <c r="E22" s="12">
        <v>45</v>
      </c>
      <c r="F22" s="12" t="s">
        <v>35</v>
      </c>
      <c r="G22" s="12" t="s">
        <v>20</v>
      </c>
      <c r="H22" s="12" t="s">
        <v>21</v>
      </c>
      <c r="I22" s="12" t="s">
        <v>22</v>
      </c>
      <c r="J22" s="12" t="s">
        <v>23</v>
      </c>
      <c r="K22" s="12" t="s">
        <v>24</v>
      </c>
      <c r="L22" s="12" t="s">
        <v>25</v>
      </c>
      <c r="M22" s="12">
        <v>6</v>
      </c>
      <c r="N22" s="12">
        <v>45</v>
      </c>
      <c r="O22" s="12">
        <v>120</v>
      </c>
      <c r="P22" s="12">
        <v>443</v>
      </c>
      <c r="Q22" s="12">
        <v>270</v>
      </c>
      <c r="R22" s="12">
        <v>713</v>
      </c>
    </row>
    <row r="23" spans="1:18" x14ac:dyDescent="0.25">
      <c r="A23" s="13">
        <v>42507</v>
      </c>
      <c r="B23" s="12">
        <v>17</v>
      </c>
      <c r="C23" s="12" t="s">
        <v>30</v>
      </c>
      <c r="D23" s="12">
        <v>2016</v>
      </c>
      <c r="E23" s="12">
        <v>29</v>
      </c>
      <c r="F23" s="12" t="s">
        <v>35</v>
      </c>
      <c r="G23" s="12" t="s">
        <v>20</v>
      </c>
      <c r="H23" s="12" t="s">
        <v>21</v>
      </c>
      <c r="I23" s="12" t="s">
        <v>22</v>
      </c>
      <c r="J23" s="12" t="s">
        <v>23</v>
      </c>
      <c r="K23" s="12" t="s">
        <v>24</v>
      </c>
      <c r="L23" s="12" t="s">
        <v>25</v>
      </c>
      <c r="M23" s="12">
        <v>8</v>
      </c>
      <c r="N23" s="12">
        <v>45</v>
      </c>
      <c r="O23" s="12">
        <v>120</v>
      </c>
      <c r="P23" s="12">
        <v>590</v>
      </c>
      <c r="Q23" s="12">
        <v>360</v>
      </c>
      <c r="R23" s="12">
        <v>950</v>
      </c>
    </row>
    <row r="24" spans="1:18" x14ac:dyDescent="0.25">
      <c r="A24" s="13">
        <v>41725</v>
      </c>
      <c r="B24" s="12">
        <v>27</v>
      </c>
      <c r="C24" s="12" t="s">
        <v>26</v>
      </c>
      <c r="D24" s="12">
        <v>2014</v>
      </c>
      <c r="E24" s="12">
        <v>51</v>
      </c>
      <c r="F24" s="12" t="s">
        <v>27</v>
      </c>
      <c r="G24" s="12" t="s">
        <v>20</v>
      </c>
      <c r="H24" s="12" t="s">
        <v>39</v>
      </c>
      <c r="I24" s="12" t="s">
        <v>40</v>
      </c>
      <c r="J24" s="12" t="s">
        <v>23</v>
      </c>
      <c r="K24" s="12" t="s">
        <v>24</v>
      </c>
      <c r="L24" s="12" t="s">
        <v>25</v>
      </c>
      <c r="M24" s="12">
        <v>9</v>
      </c>
      <c r="N24" s="12">
        <v>45</v>
      </c>
      <c r="O24" s="12">
        <v>120</v>
      </c>
      <c r="P24" s="12">
        <v>524</v>
      </c>
      <c r="Q24" s="12">
        <v>405</v>
      </c>
      <c r="R24" s="12">
        <v>929</v>
      </c>
    </row>
    <row r="25" spans="1:18" x14ac:dyDescent="0.25">
      <c r="A25" s="13">
        <v>42456</v>
      </c>
      <c r="B25" s="12">
        <v>27</v>
      </c>
      <c r="C25" s="12" t="s">
        <v>26</v>
      </c>
      <c r="D25" s="12">
        <v>2016</v>
      </c>
      <c r="E25" s="12">
        <v>51</v>
      </c>
      <c r="F25" s="12" t="s">
        <v>27</v>
      </c>
      <c r="G25" s="12" t="s">
        <v>20</v>
      </c>
      <c r="H25" s="12" t="s">
        <v>39</v>
      </c>
      <c r="I25" s="12" t="s">
        <v>40</v>
      </c>
      <c r="J25" s="12" t="s">
        <v>23</v>
      </c>
      <c r="K25" s="12" t="s">
        <v>24</v>
      </c>
      <c r="L25" s="12" t="s">
        <v>25</v>
      </c>
      <c r="M25" s="12">
        <v>7</v>
      </c>
      <c r="N25" s="12">
        <v>45</v>
      </c>
      <c r="O25" s="12">
        <v>120</v>
      </c>
      <c r="P25" s="12">
        <v>407</v>
      </c>
      <c r="Q25" s="12">
        <v>315</v>
      </c>
      <c r="R25" s="12">
        <v>722</v>
      </c>
    </row>
    <row r="26" spans="1:18" x14ac:dyDescent="0.25">
      <c r="A26" s="13">
        <v>41511</v>
      </c>
      <c r="B26" s="12">
        <v>25</v>
      </c>
      <c r="C26" s="12" t="s">
        <v>36</v>
      </c>
      <c r="D26" s="12">
        <v>2013</v>
      </c>
      <c r="E26" s="12">
        <v>49</v>
      </c>
      <c r="F26" s="12" t="s">
        <v>27</v>
      </c>
      <c r="G26" s="12" t="s">
        <v>20</v>
      </c>
      <c r="H26" s="12" t="s">
        <v>21</v>
      </c>
      <c r="I26" s="12" t="s">
        <v>22</v>
      </c>
      <c r="J26" s="12" t="s">
        <v>23</v>
      </c>
      <c r="K26" s="12" t="s">
        <v>24</v>
      </c>
      <c r="L26" s="12" t="s">
        <v>25</v>
      </c>
      <c r="M26" s="12">
        <v>3</v>
      </c>
      <c r="N26" s="12">
        <v>45</v>
      </c>
      <c r="O26" s="12">
        <v>120</v>
      </c>
      <c r="P26" s="12">
        <v>221</v>
      </c>
      <c r="Q26" s="12">
        <v>135</v>
      </c>
      <c r="R26" s="12">
        <v>356</v>
      </c>
    </row>
    <row r="27" spans="1:18" x14ac:dyDescent="0.25">
      <c r="A27" s="13">
        <v>42241</v>
      </c>
      <c r="B27" s="12">
        <v>25</v>
      </c>
      <c r="C27" s="12" t="s">
        <v>36</v>
      </c>
      <c r="D27" s="12">
        <v>2015</v>
      </c>
      <c r="E27" s="12">
        <v>49</v>
      </c>
      <c r="F27" s="12" t="s">
        <v>27</v>
      </c>
      <c r="G27" s="12" t="s">
        <v>20</v>
      </c>
      <c r="H27" s="12" t="s">
        <v>21</v>
      </c>
      <c r="I27" s="12" t="s">
        <v>22</v>
      </c>
      <c r="J27" s="12" t="s">
        <v>23</v>
      </c>
      <c r="K27" s="12" t="s">
        <v>24</v>
      </c>
      <c r="L27" s="12" t="s">
        <v>25</v>
      </c>
      <c r="M27" s="12">
        <v>1</v>
      </c>
      <c r="N27" s="12">
        <v>45</v>
      </c>
      <c r="O27" s="12">
        <v>120</v>
      </c>
      <c r="P27" s="12">
        <v>74</v>
      </c>
      <c r="Q27" s="12">
        <v>45</v>
      </c>
      <c r="R27" s="12">
        <v>119</v>
      </c>
    </row>
    <row r="28" spans="1:18" x14ac:dyDescent="0.25">
      <c r="A28" s="13">
        <v>41634</v>
      </c>
      <c r="B28" s="12">
        <v>26</v>
      </c>
      <c r="C28" s="12" t="s">
        <v>41</v>
      </c>
      <c r="D28" s="12">
        <v>2013</v>
      </c>
      <c r="E28" s="12">
        <v>56</v>
      </c>
      <c r="F28" s="12" t="s">
        <v>27</v>
      </c>
      <c r="G28" s="12" t="s">
        <v>20</v>
      </c>
      <c r="H28" s="12" t="s">
        <v>21</v>
      </c>
      <c r="I28" s="12" t="s">
        <v>22</v>
      </c>
      <c r="J28" s="12" t="s">
        <v>23</v>
      </c>
      <c r="K28" s="12" t="s">
        <v>24</v>
      </c>
      <c r="L28" s="12" t="s">
        <v>25</v>
      </c>
      <c r="M28" s="12">
        <v>6</v>
      </c>
      <c r="N28" s="12">
        <v>45</v>
      </c>
      <c r="O28" s="12">
        <v>120</v>
      </c>
      <c r="P28" s="12">
        <v>443</v>
      </c>
      <c r="Q28" s="12">
        <v>270</v>
      </c>
      <c r="R28" s="12">
        <v>713</v>
      </c>
    </row>
    <row r="29" spans="1:18" x14ac:dyDescent="0.25">
      <c r="A29" s="13">
        <v>42364</v>
      </c>
      <c r="B29" s="12">
        <v>26</v>
      </c>
      <c r="C29" s="12" t="s">
        <v>41</v>
      </c>
      <c r="D29" s="12">
        <v>2015</v>
      </c>
      <c r="E29" s="12">
        <v>49</v>
      </c>
      <c r="F29" s="12" t="s">
        <v>27</v>
      </c>
      <c r="G29" s="12" t="s">
        <v>20</v>
      </c>
      <c r="H29" s="12" t="s">
        <v>21</v>
      </c>
      <c r="I29" s="12" t="s">
        <v>22</v>
      </c>
      <c r="J29" s="12" t="s">
        <v>23</v>
      </c>
      <c r="K29" s="12" t="s">
        <v>24</v>
      </c>
      <c r="L29" s="12" t="s">
        <v>25</v>
      </c>
      <c r="M29" s="12">
        <v>5</v>
      </c>
      <c r="N29" s="12">
        <v>45</v>
      </c>
      <c r="O29" s="12">
        <v>120</v>
      </c>
      <c r="P29" s="12">
        <v>369</v>
      </c>
      <c r="Q29" s="12">
        <v>225</v>
      </c>
      <c r="R29" s="12">
        <v>594</v>
      </c>
    </row>
    <row r="30" spans="1:18" x14ac:dyDescent="0.25">
      <c r="A30" s="13">
        <v>41641</v>
      </c>
      <c r="B30" s="12">
        <v>2</v>
      </c>
      <c r="C30" s="12" t="s">
        <v>38</v>
      </c>
      <c r="D30" s="12">
        <v>2014</v>
      </c>
      <c r="E30" s="12">
        <v>48</v>
      </c>
      <c r="F30" s="12" t="s">
        <v>27</v>
      </c>
      <c r="G30" s="12" t="s">
        <v>31</v>
      </c>
      <c r="H30" s="12" t="s">
        <v>21</v>
      </c>
      <c r="I30" s="12" t="s">
        <v>22</v>
      </c>
      <c r="J30" s="12" t="s">
        <v>23</v>
      </c>
      <c r="K30" s="12" t="s">
        <v>24</v>
      </c>
      <c r="L30" s="12" t="s">
        <v>25</v>
      </c>
      <c r="M30" s="12">
        <v>4</v>
      </c>
      <c r="N30" s="12">
        <v>45</v>
      </c>
      <c r="O30" s="12">
        <v>120</v>
      </c>
      <c r="P30" s="12">
        <v>295</v>
      </c>
      <c r="Q30" s="12">
        <v>180</v>
      </c>
      <c r="R30" s="12">
        <v>475</v>
      </c>
    </row>
    <row r="31" spans="1:18" x14ac:dyDescent="0.25">
      <c r="A31" s="13">
        <v>42371</v>
      </c>
      <c r="B31" s="12">
        <v>2</v>
      </c>
      <c r="C31" s="12" t="s">
        <v>38</v>
      </c>
      <c r="D31" s="12">
        <v>2016</v>
      </c>
      <c r="E31" s="12">
        <v>48</v>
      </c>
      <c r="F31" s="12" t="s">
        <v>27</v>
      </c>
      <c r="G31" s="12" t="s">
        <v>31</v>
      </c>
      <c r="H31" s="12" t="s">
        <v>21</v>
      </c>
      <c r="I31" s="12" t="s">
        <v>22</v>
      </c>
      <c r="J31" s="12" t="s">
        <v>23</v>
      </c>
      <c r="K31" s="12" t="s">
        <v>24</v>
      </c>
      <c r="L31" s="12" t="s">
        <v>25</v>
      </c>
      <c r="M31" s="12">
        <v>4</v>
      </c>
      <c r="N31" s="12">
        <v>45</v>
      </c>
      <c r="O31" s="12">
        <v>120</v>
      </c>
      <c r="P31" s="12">
        <v>295</v>
      </c>
      <c r="Q31" s="12">
        <v>180</v>
      </c>
      <c r="R31" s="12">
        <v>475</v>
      </c>
    </row>
    <row r="32" spans="1:18" x14ac:dyDescent="0.25">
      <c r="A32" s="13">
        <v>41711</v>
      </c>
      <c r="B32" s="12">
        <v>13</v>
      </c>
      <c r="C32" s="12" t="s">
        <v>26</v>
      </c>
      <c r="D32" s="12">
        <v>2014</v>
      </c>
      <c r="E32" s="12">
        <v>48</v>
      </c>
      <c r="F32" s="12" t="s">
        <v>27</v>
      </c>
      <c r="G32" s="12" t="s">
        <v>31</v>
      </c>
      <c r="H32" s="12" t="s">
        <v>21</v>
      </c>
      <c r="I32" s="12" t="s">
        <v>22</v>
      </c>
      <c r="J32" s="12" t="s">
        <v>23</v>
      </c>
      <c r="K32" s="12" t="s">
        <v>24</v>
      </c>
      <c r="L32" s="12" t="s">
        <v>25</v>
      </c>
      <c r="M32" s="12">
        <v>20</v>
      </c>
      <c r="N32" s="12">
        <v>45</v>
      </c>
      <c r="O32" s="12">
        <v>120</v>
      </c>
      <c r="P32" s="12">
        <v>1476</v>
      </c>
      <c r="Q32" s="12">
        <v>900</v>
      </c>
      <c r="R32" s="12">
        <v>2376</v>
      </c>
    </row>
    <row r="33" spans="1:18" x14ac:dyDescent="0.25">
      <c r="A33" s="13">
        <v>42442</v>
      </c>
      <c r="B33" s="12">
        <v>13</v>
      </c>
      <c r="C33" s="12" t="s">
        <v>26</v>
      </c>
      <c r="D33" s="12">
        <v>2016</v>
      </c>
      <c r="E33" s="12">
        <v>48</v>
      </c>
      <c r="F33" s="12" t="s">
        <v>27</v>
      </c>
      <c r="G33" s="12" t="s">
        <v>31</v>
      </c>
      <c r="H33" s="12" t="s">
        <v>21</v>
      </c>
      <c r="I33" s="12" t="s">
        <v>22</v>
      </c>
      <c r="J33" s="12" t="s">
        <v>23</v>
      </c>
      <c r="K33" s="12" t="s">
        <v>24</v>
      </c>
      <c r="L33" s="12" t="s">
        <v>25</v>
      </c>
      <c r="M33" s="12">
        <v>22</v>
      </c>
      <c r="N33" s="12">
        <v>45</v>
      </c>
      <c r="O33" s="12">
        <v>120</v>
      </c>
      <c r="P33" s="12">
        <v>1624</v>
      </c>
      <c r="Q33" s="12">
        <v>990</v>
      </c>
      <c r="R33" s="12">
        <v>2614</v>
      </c>
    </row>
    <row r="34" spans="1:18" x14ac:dyDescent="0.25">
      <c r="A34" s="13">
        <v>41782</v>
      </c>
      <c r="B34" s="12">
        <v>23</v>
      </c>
      <c r="C34" s="12" t="s">
        <v>30</v>
      </c>
      <c r="D34" s="12">
        <v>2014</v>
      </c>
      <c r="E34" s="12">
        <v>47</v>
      </c>
      <c r="F34" s="12" t="s">
        <v>27</v>
      </c>
      <c r="G34" s="12" t="s">
        <v>31</v>
      </c>
      <c r="H34" s="12" t="s">
        <v>21</v>
      </c>
      <c r="I34" s="12" t="s">
        <v>22</v>
      </c>
      <c r="J34" s="12" t="s">
        <v>23</v>
      </c>
      <c r="K34" s="12" t="s">
        <v>24</v>
      </c>
      <c r="L34" s="12" t="s">
        <v>25</v>
      </c>
      <c r="M34" s="12">
        <v>24</v>
      </c>
      <c r="N34" s="12">
        <v>45</v>
      </c>
      <c r="O34" s="12">
        <v>120</v>
      </c>
      <c r="P34" s="12">
        <v>1771</v>
      </c>
      <c r="Q34" s="12">
        <v>1080</v>
      </c>
      <c r="R34" s="12">
        <v>2851</v>
      </c>
    </row>
    <row r="35" spans="1:18" x14ac:dyDescent="0.25">
      <c r="A35" s="13">
        <v>42513</v>
      </c>
      <c r="B35" s="12">
        <v>23</v>
      </c>
      <c r="C35" s="12" t="s">
        <v>30</v>
      </c>
      <c r="D35" s="12">
        <v>2016</v>
      </c>
      <c r="E35" s="12">
        <v>47</v>
      </c>
      <c r="F35" s="12" t="s">
        <v>27</v>
      </c>
      <c r="G35" s="12" t="s">
        <v>31</v>
      </c>
      <c r="H35" s="12" t="s">
        <v>21</v>
      </c>
      <c r="I35" s="12" t="s">
        <v>22</v>
      </c>
      <c r="J35" s="12" t="s">
        <v>23</v>
      </c>
      <c r="K35" s="12" t="s">
        <v>24</v>
      </c>
      <c r="L35" s="12" t="s">
        <v>25</v>
      </c>
      <c r="M35" s="12">
        <v>23</v>
      </c>
      <c r="N35" s="12">
        <v>45</v>
      </c>
      <c r="O35" s="12">
        <v>120</v>
      </c>
      <c r="P35" s="12">
        <v>1697</v>
      </c>
      <c r="Q35" s="12">
        <v>1035</v>
      </c>
      <c r="R35" s="12">
        <v>2732</v>
      </c>
    </row>
    <row r="36" spans="1:18" x14ac:dyDescent="0.25">
      <c r="A36" s="13">
        <v>41474</v>
      </c>
      <c r="B36" s="12">
        <v>19</v>
      </c>
      <c r="C36" s="12" t="s">
        <v>34</v>
      </c>
      <c r="D36" s="12">
        <v>2013</v>
      </c>
      <c r="E36" s="12">
        <v>32</v>
      </c>
      <c r="F36" s="12" t="s">
        <v>35</v>
      </c>
      <c r="G36" s="12" t="s">
        <v>31</v>
      </c>
      <c r="H36" s="12" t="s">
        <v>39</v>
      </c>
      <c r="I36" s="12" t="s">
        <v>40</v>
      </c>
      <c r="J36" s="12" t="s">
        <v>23</v>
      </c>
      <c r="K36" s="12" t="s">
        <v>24</v>
      </c>
      <c r="L36" s="12" t="s">
        <v>25</v>
      </c>
      <c r="M36" s="12">
        <v>9</v>
      </c>
      <c r="N36" s="12">
        <v>45</v>
      </c>
      <c r="O36" s="12">
        <v>120</v>
      </c>
      <c r="P36" s="12">
        <v>524</v>
      </c>
      <c r="Q36" s="12">
        <v>405</v>
      </c>
      <c r="R36" s="12">
        <v>929</v>
      </c>
    </row>
    <row r="37" spans="1:18" x14ac:dyDescent="0.25">
      <c r="A37" s="13">
        <v>42204</v>
      </c>
      <c r="B37" s="12">
        <v>19</v>
      </c>
      <c r="C37" s="12" t="s">
        <v>34</v>
      </c>
      <c r="D37" s="12">
        <v>2015</v>
      </c>
      <c r="E37" s="12">
        <v>32</v>
      </c>
      <c r="F37" s="12" t="s">
        <v>35</v>
      </c>
      <c r="G37" s="12" t="s">
        <v>31</v>
      </c>
      <c r="H37" s="12" t="s">
        <v>39</v>
      </c>
      <c r="I37" s="12" t="s">
        <v>40</v>
      </c>
      <c r="J37" s="12" t="s">
        <v>23</v>
      </c>
      <c r="K37" s="12" t="s">
        <v>24</v>
      </c>
      <c r="L37" s="12" t="s">
        <v>25</v>
      </c>
      <c r="M37" s="12">
        <v>9</v>
      </c>
      <c r="N37" s="12">
        <v>45</v>
      </c>
      <c r="O37" s="12">
        <v>120</v>
      </c>
      <c r="P37" s="12">
        <v>524</v>
      </c>
      <c r="Q37" s="12">
        <v>405</v>
      </c>
      <c r="R37" s="12">
        <v>929</v>
      </c>
    </row>
    <row r="38" spans="1:18" x14ac:dyDescent="0.25">
      <c r="A38" s="13">
        <v>41589</v>
      </c>
      <c r="B38" s="12">
        <v>11</v>
      </c>
      <c r="C38" s="12" t="s">
        <v>18</v>
      </c>
      <c r="D38" s="12">
        <v>2013</v>
      </c>
      <c r="E38" s="12">
        <v>34</v>
      </c>
      <c r="F38" s="12" t="s">
        <v>35</v>
      </c>
      <c r="G38" s="12" t="s">
        <v>20</v>
      </c>
      <c r="H38" s="12" t="s">
        <v>21</v>
      </c>
      <c r="I38" s="12" t="s">
        <v>22</v>
      </c>
      <c r="J38" s="12" t="s">
        <v>23</v>
      </c>
      <c r="K38" s="12" t="s">
        <v>24</v>
      </c>
      <c r="L38" s="12" t="s">
        <v>25</v>
      </c>
      <c r="M38" s="12">
        <v>25</v>
      </c>
      <c r="N38" s="12">
        <v>45</v>
      </c>
      <c r="O38" s="12">
        <v>120</v>
      </c>
      <c r="P38" s="12">
        <v>1845</v>
      </c>
      <c r="Q38" s="12">
        <v>1125</v>
      </c>
      <c r="R38" s="12">
        <v>2970</v>
      </c>
    </row>
    <row r="39" spans="1:18" x14ac:dyDescent="0.25">
      <c r="A39" s="13">
        <v>42319</v>
      </c>
      <c r="B39" s="12">
        <v>11</v>
      </c>
      <c r="C39" s="12" t="s">
        <v>18</v>
      </c>
      <c r="D39" s="12">
        <v>2015</v>
      </c>
      <c r="E39" s="12">
        <v>34</v>
      </c>
      <c r="F39" s="12" t="s">
        <v>35</v>
      </c>
      <c r="G39" s="12" t="s">
        <v>20</v>
      </c>
      <c r="H39" s="12" t="s">
        <v>21</v>
      </c>
      <c r="I39" s="12" t="s">
        <v>22</v>
      </c>
      <c r="J39" s="12" t="s">
        <v>23</v>
      </c>
      <c r="K39" s="12" t="s">
        <v>24</v>
      </c>
      <c r="L39" s="12" t="s">
        <v>25</v>
      </c>
      <c r="M39" s="12">
        <v>23</v>
      </c>
      <c r="N39" s="12">
        <v>45</v>
      </c>
      <c r="O39" s="12">
        <v>120</v>
      </c>
      <c r="P39" s="12">
        <v>1697</v>
      </c>
      <c r="Q39" s="12">
        <v>1035</v>
      </c>
      <c r="R39" s="12">
        <v>2732</v>
      </c>
    </row>
    <row r="40" spans="1:18" x14ac:dyDescent="0.25">
      <c r="A40" s="13">
        <v>41468</v>
      </c>
      <c r="B40" s="12">
        <v>13</v>
      </c>
      <c r="C40" s="12" t="s">
        <v>34</v>
      </c>
      <c r="D40" s="12">
        <v>2013</v>
      </c>
      <c r="E40" s="12">
        <v>43</v>
      </c>
      <c r="F40" s="12" t="s">
        <v>27</v>
      </c>
      <c r="G40" s="12" t="s">
        <v>31</v>
      </c>
      <c r="H40" s="12" t="s">
        <v>39</v>
      </c>
      <c r="I40" s="12" t="s">
        <v>42</v>
      </c>
      <c r="J40" s="12" t="s">
        <v>23</v>
      </c>
      <c r="K40" s="12" t="s">
        <v>24</v>
      </c>
      <c r="L40" s="12" t="s">
        <v>25</v>
      </c>
      <c r="M40" s="12">
        <v>10</v>
      </c>
      <c r="N40" s="12">
        <v>45</v>
      </c>
      <c r="O40" s="12">
        <v>120</v>
      </c>
      <c r="P40" s="12">
        <v>726</v>
      </c>
      <c r="Q40" s="12">
        <v>450</v>
      </c>
      <c r="R40" s="12">
        <v>1176</v>
      </c>
    </row>
    <row r="41" spans="1:18" x14ac:dyDescent="0.25">
      <c r="A41" s="13">
        <v>42198</v>
      </c>
      <c r="B41" s="12">
        <v>13</v>
      </c>
      <c r="C41" s="12" t="s">
        <v>34</v>
      </c>
      <c r="D41" s="12">
        <v>2015</v>
      </c>
      <c r="E41" s="12">
        <v>43</v>
      </c>
      <c r="F41" s="12" t="s">
        <v>27</v>
      </c>
      <c r="G41" s="12" t="s">
        <v>31</v>
      </c>
      <c r="H41" s="12" t="s">
        <v>39</v>
      </c>
      <c r="I41" s="12" t="s">
        <v>42</v>
      </c>
      <c r="J41" s="12" t="s">
        <v>23</v>
      </c>
      <c r="K41" s="12" t="s">
        <v>24</v>
      </c>
      <c r="L41" s="12" t="s">
        <v>25</v>
      </c>
      <c r="M41" s="12">
        <v>10</v>
      </c>
      <c r="N41" s="12">
        <v>45</v>
      </c>
      <c r="O41" s="12">
        <v>120</v>
      </c>
      <c r="P41" s="12">
        <v>726</v>
      </c>
      <c r="Q41" s="12">
        <v>450</v>
      </c>
      <c r="R41" s="12">
        <v>1176</v>
      </c>
    </row>
    <row r="42" spans="1:18" x14ac:dyDescent="0.25">
      <c r="A42" s="13">
        <v>41729</v>
      </c>
      <c r="B42" s="12">
        <v>31</v>
      </c>
      <c r="C42" s="12" t="s">
        <v>26</v>
      </c>
      <c r="D42" s="12">
        <v>2014</v>
      </c>
      <c r="E42" s="12">
        <v>43</v>
      </c>
      <c r="F42" s="12" t="s">
        <v>27</v>
      </c>
      <c r="G42" s="12" t="s">
        <v>31</v>
      </c>
      <c r="H42" s="12" t="s">
        <v>39</v>
      </c>
      <c r="I42" s="12" t="s">
        <v>42</v>
      </c>
      <c r="J42" s="12" t="s">
        <v>23</v>
      </c>
      <c r="K42" s="12" t="s">
        <v>24</v>
      </c>
      <c r="L42" s="12" t="s">
        <v>25</v>
      </c>
      <c r="M42" s="12">
        <v>11</v>
      </c>
      <c r="N42" s="12">
        <v>45</v>
      </c>
      <c r="O42" s="12">
        <v>120</v>
      </c>
      <c r="P42" s="12">
        <v>799</v>
      </c>
      <c r="Q42" s="12">
        <v>495</v>
      </c>
      <c r="R42" s="12">
        <v>1294</v>
      </c>
    </row>
    <row r="43" spans="1:18" x14ac:dyDescent="0.25">
      <c r="A43" s="13">
        <v>42460</v>
      </c>
      <c r="B43" s="12">
        <v>31</v>
      </c>
      <c r="C43" s="12" t="s">
        <v>26</v>
      </c>
      <c r="D43" s="12">
        <v>2016</v>
      </c>
      <c r="E43" s="12">
        <v>43</v>
      </c>
      <c r="F43" s="12" t="s">
        <v>27</v>
      </c>
      <c r="G43" s="12" t="s">
        <v>31</v>
      </c>
      <c r="H43" s="12" t="s">
        <v>39</v>
      </c>
      <c r="I43" s="12" t="s">
        <v>42</v>
      </c>
      <c r="J43" s="12" t="s">
        <v>23</v>
      </c>
      <c r="K43" s="12" t="s">
        <v>24</v>
      </c>
      <c r="L43" s="12" t="s">
        <v>25</v>
      </c>
      <c r="M43" s="12">
        <v>11</v>
      </c>
      <c r="N43" s="12">
        <v>45</v>
      </c>
      <c r="O43" s="12">
        <v>120</v>
      </c>
      <c r="P43" s="12">
        <v>799</v>
      </c>
      <c r="Q43" s="12">
        <v>495</v>
      </c>
      <c r="R43" s="12">
        <v>1294</v>
      </c>
    </row>
    <row r="44" spans="1:18" x14ac:dyDescent="0.25">
      <c r="A44" s="13">
        <v>41514</v>
      </c>
      <c r="B44" s="12">
        <v>28</v>
      </c>
      <c r="C44" s="12" t="s">
        <v>36</v>
      </c>
      <c r="D44" s="12">
        <v>2013</v>
      </c>
      <c r="E44" s="12">
        <v>61</v>
      </c>
      <c r="F44" s="12" t="s">
        <v>27</v>
      </c>
      <c r="G44" s="12" t="s">
        <v>20</v>
      </c>
      <c r="H44" s="12" t="s">
        <v>39</v>
      </c>
      <c r="I44" s="12" t="s">
        <v>42</v>
      </c>
      <c r="J44" s="12" t="s">
        <v>23</v>
      </c>
      <c r="K44" s="12" t="s">
        <v>24</v>
      </c>
      <c r="L44" s="12" t="s">
        <v>25</v>
      </c>
      <c r="M44" s="12">
        <v>8</v>
      </c>
      <c r="N44" s="12">
        <v>45</v>
      </c>
      <c r="O44" s="12">
        <v>120</v>
      </c>
      <c r="P44" s="12">
        <v>581</v>
      </c>
      <c r="Q44" s="12">
        <v>360</v>
      </c>
      <c r="R44" s="12">
        <v>941</v>
      </c>
    </row>
    <row r="45" spans="1:18" x14ac:dyDescent="0.25">
      <c r="A45" s="13">
        <v>42244</v>
      </c>
      <c r="B45" s="12">
        <v>28</v>
      </c>
      <c r="C45" s="12" t="s">
        <v>36</v>
      </c>
      <c r="D45" s="12">
        <v>2015</v>
      </c>
      <c r="E45" s="12">
        <v>61</v>
      </c>
      <c r="F45" s="12" t="s">
        <v>27</v>
      </c>
      <c r="G45" s="12" t="s">
        <v>20</v>
      </c>
      <c r="H45" s="12" t="s">
        <v>39</v>
      </c>
      <c r="I45" s="12" t="s">
        <v>42</v>
      </c>
      <c r="J45" s="12" t="s">
        <v>23</v>
      </c>
      <c r="K45" s="12" t="s">
        <v>24</v>
      </c>
      <c r="L45" s="12" t="s">
        <v>25</v>
      </c>
      <c r="M45" s="12">
        <v>10</v>
      </c>
      <c r="N45" s="12">
        <v>45</v>
      </c>
      <c r="O45" s="12">
        <v>120</v>
      </c>
      <c r="P45" s="12">
        <v>726</v>
      </c>
      <c r="Q45" s="12">
        <v>450</v>
      </c>
      <c r="R45" s="12">
        <v>1176</v>
      </c>
    </row>
    <row r="46" spans="1:18" x14ac:dyDescent="0.25">
      <c r="A46" s="13">
        <v>41513</v>
      </c>
      <c r="B46" s="12">
        <v>27</v>
      </c>
      <c r="C46" s="12" t="s">
        <v>36</v>
      </c>
      <c r="D46" s="12">
        <v>2013</v>
      </c>
      <c r="E46" s="12">
        <v>57</v>
      </c>
      <c r="F46" s="12" t="s">
        <v>27</v>
      </c>
      <c r="G46" s="12" t="s">
        <v>20</v>
      </c>
      <c r="H46" s="12" t="s">
        <v>21</v>
      </c>
      <c r="I46" s="12" t="s">
        <v>22</v>
      </c>
      <c r="J46" s="12" t="s">
        <v>23</v>
      </c>
      <c r="K46" s="12" t="s">
        <v>24</v>
      </c>
      <c r="L46" s="12" t="s">
        <v>25</v>
      </c>
      <c r="M46" s="12">
        <v>2</v>
      </c>
      <c r="N46" s="12">
        <v>45</v>
      </c>
      <c r="O46" s="12">
        <v>120</v>
      </c>
      <c r="P46" s="12">
        <v>148</v>
      </c>
      <c r="Q46" s="12">
        <v>90</v>
      </c>
      <c r="R46" s="12">
        <v>238</v>
      </c>
    </row>
    <row r="47" spans="1:18" x14ac:dyDescent="0.25">
      <c r="A47" s="13">
        <v>41595</v>
      </c>
      <c r="B47" s="12">
        <v>17</v>
      </c>
      <c r="C47" s="12" t="s">
        <v>18</v>
      </c>
      <c r="D47" s="12">
        <v>2013</v>
      </c>
      <c r="E47" s="12">
        <v>29</v>
      </c>
      <c r="F47" s="12" t="s">
        <v>35</v>
      </c>
      <c r="G47" s="12" t="s">
        <v>31</v>
      </c>
      <c r="H47" s="12" t="s">
        <v>21</v>
      </c>
      <c r="I47" s="12" t="s">
        <v>22</v>
      </c>
      <c r="J47" s="12" t="s">
        <v>23</v>
      </c>
      <c r="K47" s="12" t="s">
        <v>24</v>
      </c>
      <c r="L47" s="12" t="s">
        <v>25</v>
      </c>
      <c r="M47" s="12">
        <v>12</v>
      </c>
      <c r="N47" s="12">
        <v>45</v>
      </c>
      <c r="O47" s="12">
        <v>120</v>
      </c>
      <c r="P47" s="12">
        <v>886</v>
      </c>
      <c r="Q47" s="12">
        <v>540</v>
      </c>
      <c r="R47" s="12">
        <v>1426</v>
      </c>
    </row>
    <row r="48" spans="1:18" x14ac:dyDescent="0.25">
      <c r="A48" s="13">
        <v>42325</v>
      </c>
      <c r="B48" s="12">
        <v>17</v>
      </c>
      <c r="C48" s="12" t="s">
        <v>18</v>
      </c>
      <c r="D48" s="12">
        <v>2015</v>
      </c>
      <c r="E48" s="12">
        <v>29</v>
      </c>
      <c r="F48" s="12" t="s">
        <v>35</v>
      </c>
      <c r="G48" s="12" t="s">
        <v>31</v>
      </c>
      <c r="H48" s="12" t="s">
        <v>21</v>
      </c>
      <c r="I48" s="12" t="s">
        <v>22</v>
      </c>
      <c r="J48" s="12" t="s">
        <v>23</v>
      </c>
      <c r="K48" s="12" t="s">
        <v>24</v>
      </c>
      <c r="L48" s="12" t="s">
        <v>25</v>
      </c>
      <c r="M48" s="12">
        <v>14</v>
      </c>
      <c r="N48" s="12">
        <v>45</v>
      </c>
      <c r="O48" s="12">
        <v>120</v>
      </c>
      <c r="P48" s="12">
        <v>1033</v>
      </c>
      <c r="Q48" s="12">
        <v>630</v>
      </c>
      <c r="R48" s="12">
        <v>1663</v>
      </c>
    </row>
    <row r="49" spans="1:18" x14ac:dyDescent="0.25">
      <c r="A49" s="13">
        <v>41493</v>
      </c>
      <c r="B49" s="12">
        <v>7</v>
      </c>
      <c r="C49" s="12" t="s">
        <v>36</v>
      </c>
      <c r="D49" s="12">
        <v>2013</v>
      </c>
      <c r="E49" s="12">
        <v>38</v>
      </c>
      <c r="F49" s="12" t="s">
        <v>27</v>
      </c>
      <c r="G49" s="12" t="s">
        <v>20</v>
      </c>
      <c r="H49" s="12" t="s">
        <v>43</v>
      </c>
      <c r="I49" s="12" t="s">
        <v>44</v>
      </c>
      <c r="J49" s="12" t="s">
        <v>23</v>
      </c>
      <c r="K49" s="12" t="s">
        <v>24</v>
      </c>
      <c r="L49" s="12" t="s">
        <v>25</v>
      </c>
      <c r="M49" s="12">
        <v>3</v>
      </c>
      <c r="N49" s="12">
        <v>45</v>
      </c>
      <c r="O49" s="12">
        <v>120</v>
      </c>
      <c r="P49" s="12">
        <v>160</v>
      </c>
      <c r="Q49" s="12">
        <v>135</v>
      </c>
      <c r="R49" s="12">
        <v>295</v>
      </c>
    </row>
    <row r="50" spans="1:18" x14ac:dyDescent="0.25">
      <c r="A50" s="13">
        <v>42223</v>
      </c>
      <c r="B50" s="12">
        <v>7</v>
      </c>
      <c r="C50" s="12" t="s">
        <v>36</v>
      </c>
      <c r="D50" s="12">
        <v>2015</v>
      </c>
      <c r="E50" s="12">
        <v>38</v>
      </c>
      <c r="F50" s="12" t="s">
        <v>27</v>
      </c>
      <c r="G50" s="12" t="s">
        <v>20</v>
      </c>
      <c r="H50" s="12" t="s">
        <v>43</v>
      </c>
      <c r="I50" s="12" t="s">
        <v>44</v>
      </c>
      <c r="J50" s="12" t="s">
        <v>23</v>
      </c>
      <c r="K50" s="12" t="s">
        <v>24</v>
      </c>
      <c r="L50" s="12" t="s">
        <v>25</v>
      </c>
      <c r="M50" s="12">
        <v>1</v>
      </c>
      <c r="N50" s="12">
        <v>45</v>
      </c>
      <c r="O50" s="12">
        <v>120</v>
      </c>
      <c r="P50" s="12">
        <v>53</v>
      </c>
      <c r="Q50" s="12">
        <v>45</v>
      </c>
      <c r="R50" s="12">
        <v>98</v>
      </c>
    </row>
    <row r="51" spans="1:18" x14ac:dyDescent="0.25">
      <c r="A51" s="13">
        <v>41470</v>
      </c>
      <c r="B51" s="12">
        <v>15</v>
      </c>
      <c r="C51" s="12" t="s">
        <v>34</v>
      </c>
      <c r="D51" s="12">
        <v>2013</v>
      </c>
      <c r="E51" s="12">
        <v>52</v>
      </c>
      <c r="F51" s="12" t="s">
        <v>27</v>
      </c>
      <c r="G51" s="12" t="s">
        <v>31</v>
      </c>
      <c r="H51" s="12" t="s">
        <v>45</v>
      </c>
      <c r="I51" s="12" t="s">
        <v>46</v>
      </c>
      <c r="J51" s="12" t="s">
        <v>23</v>
      </c>
      <c r="K51" s="12" t="s">
        <v>24</v>
      </c>
      <c r="L51" s="12" t="s">
        <v>25</v>
      </c>
      <c r="M51" s="12">
        <v>8</v>
      </c>
      <c r="N51" s="12">
        <v>45</v>
      </c>
      <c r="O51" s="12">
        <v>120</v>
      </c>
      <c r="P51" s="12">
        <v>427</v>
      </c>
      <c r="Q51" s="12">
        <v>360</v>
      </c>
      <c r="R51" s="12">
        <v>787</v>
      </c>
    </row>
    <row r="52" spans="1:18" x14ac:dyDescent="0.25">
      <c r="A52" s="13">
        <v>42200</v>
      </c>
      <c r="B52" s="12">
        <v>15</v>
      </c>
      <c r="C52" s="12" t="s">
        <v>34</v>
      </c>
      <c r="D52" s="12">
        <v>2015</v>
      </c>
      <c r="E52" s="12">
        <v>52</v>
      </c>
      <c r="F52" s="12" t="s">
        <v>27</v>
      </c>
      <c r="G52" s="12" t="s">
        <v>31</v>
      </c>
      <c r="H52" s="12" t="s">
        <v>45</v>
      </c>
      <c r="I52" s="12" t="s">
        <v>46</v>
      </c>
      <c r="J52" s="12" t="s">
        <v>23</v>
      </c>
      <c r="K52" s="12" t="s">
        <v>24</v>
      </c>
      <c r="L52" s="12" t="s">
        <v>25</v>
      </c>
      <c r="M52" s="12">
        <v>8</v>
      </c>
      <c r="N52" s="12">
        <v>45</v>
      </c>
      <c r="O52" s="12">
        <v>120</v>
      </c>
      <c r="P52" s="12">
        <v>427</v>
      </c>
      <c r="Q52" s="12">
        <v>360</v>
      </c>
      <c r="R52" s="12">
        <v>787</v>
      </c>
    </row>
    <row r="53" spans="1:18" x14ac:dyDescent="0.25">
      <c r="A53" s="13">
        <v>41503</v>
      </c>
      <c r="B53" s="12">
        <v>17</v>
      </c>
      <c r="C53" s="12" t="s">
        <v>36</v>
      </c>
      <c r="D53" s="12">
        <v>2013</v>
      </c>
      <c r="E53" s="12">
        <v>43</v>
      </c>
      <c r="F53" s="12" t="s">
        <v>27</v>
      </c>
      <c r="G53" s="12" t="s">
        <v>31</v>
      </c>
      <c r="H53" s="12" t="s">
        <v>45</v>
      </c>
      <c r="I53" s="12" t="s">
        <v>47</v>
      </c>
      <c r="J53" s="12" t="s">
        <v>23</v>
      </c>
      <c r="K53" s="12" t="s">
        <v>24</v>
      </c>
      <c r="L53" s="12" t="s">
        <v>25</v>
      </c>
      <c r="M53" s="12">
        <v>28</v>
      </c>
      <c r="N53" s="12">
        <v>45</v>
      </c>
      <c r="O53" s="12">
        <v>120</v>
      </c>
      <c r="P53" s="12">
        <v>1697</v>
      </c>
      <c r="Q53" s="12">
        <v>1260</v>
      </c>
      <c r="R53" s="12">
        <v>2957</v>
      </c>
    </row>
    <row r="54" spans="1:18" x14ac:dyDescent="0.25">
      <c r="A54" s="13">
        <v>42233</v>
      </c>
      <c r="B54" s="12">
        <v>17</v>
      </c>
      <c r="C54" s="12" t="s">
        <v>36</v>
      </c>
      <c r="D54" s="12">
        <v>2015</v>
      </c>
      <c r="E54" s="12">
        <v>43</v>
      </c>
      <c r="F54" s="12" t="s">
        <v>27</v>
      </c>
      <c r="G54" s="12" t="s">
        <v>31</v>
      </c>
      <c r="H54" s="12" t="s">
        <v>45</v>
      </c>
      <c r="I54" s="12" t="s">
        <v>47</v>
      </c>
      <c r="J54" s="12" t="s">
        <v>23</v>
      </c>
      <c r="K54" s="12" t="s">
        <v>24</v>
      </c>
      <c r="L54" s="12" t="s">
        <v>25</v>
      </c>
      <c r="M54" s="12">
        <v>27</v>
      </c>
      <c r="N54" s="12">
        <v>45</v>
      </c>
      <c r="O54" s="12">
        <v>120</v>
      </c>
      <c r="P54" s="12">
        <v>1636</v>
      </c>
      <c r="Q54" s="12">
        <v>1215</v>
      </c>
      <c r="R54" s="12">
        <v>2851</v>
      </c>
    </row>
    <row r="55" spans="1:18" x14ac:dyDescent="0.25">
      <c r="A55" s="13">
        <v>41472</v>
      </c>
      <c r="B55" s="12">
        <v>17</v>
      </c>
      <c r="C55" s="12" t="s">
        <v>34</v>
      </c>
      <c r="D55" s="12">
        <v>2013</v>
      </c>
      <c r="E55" s="12">
        <v>24</v>
      </c>
      <c r="F55" s="12" t="s">
        <v>19</v>
      </c>
      <c r="G55" s="12" t="s">
        <v>31</v>
      </c>
      <c r="H55" s="12" t="s">
        <v>28</v>
      </c>
      <c r="I55" s="12" t="s">
        <v>48</v>
      </c>
      <c r="J55" s="12" t="s">
        <v>23</v>
      </c>
      <c r="K55" s="12" t="s">
        <v>24</v>
      </c>
      <c r="L55" s="12" t="s">
        <v>25</v>
      </c>
      <c r="M55" s="12">
        <v>9</v>
      </c>
      <c r="N55" s="12">
        <v>45</v>
      </c>
      <c r="O55" s="12">
        <v>120</v>
      </c>
      <c r="P55" s="12">
        <v>502</v>
      </c>
      <c r="Q55" s="12">
        <v>405</v>
      </c>
      <c r="R55" s="12">
        <v>907</v>
      </c>
    </row>
    <row r="56" spans="1:18" x14ac:dyDescent="0.25">
      <c r="A56" s="13">
        <v>42202</v>
      </c>
      <c r="B56" s="12">
        <v>17</v>
      </c>
      <c r="C56" s="12" t="s">
        <v>34</v>
      </c>
      <c r="D56" s="12">
        <v>2015</v>
      </c>
      <c r="E56" s="12">
        <v>24</v>
      </c>
      <c r="F56" s="12" t="s">
        <v>19</v>
      </c>
      <c r="G56" s="12" t="s">
        <v>31</v>
      </c>
      <c r="H56" s="12" t="s">
        <v>28</v>
      </c>
      <c r="I56" s="12" t="s">
        <v>48</v>
      </c>
      <c r="J56" s="12" t="s">
        <v>23</v>
      </c>
      <c r="K56" s="12" t="s">
        <v>24</v>
      </c>
      <c r="L56" s="12" t="s">
        <v>25</v>
      </c>
      <c r="M56" s="12">
        <v>6</v>
      </c>
      <c r="N56" s="12">
        <v>45</v>
      </c>
      <c r="O56" s="12">
        <v>120</v>
      </c>
      <c r="P56" s="12">
        <v>335</v>
      </c>
      <c r="Q56" s="12">
        <v>270</v>
      </c>
      <c r="R56" s="12">
        <v>605</v>
      </c>
    </row>
    <row r="57" spans="1:18" x14ac:dyDescent="0.25">
      <c r="A57" s="13">
        <v>41639</v>
      </c>
      <c r="B57" s="12">
        <v>31</v>
      </c>
      <c r="C57" s="12" t="s">
        <v>41</v>
      </c>
      <c r="D57" s="12">
        <v>2013</v>
      </c>
      <c r="E57" s="12">
        <v>23</v>
      </c>
      <c r="F57" s="12" t="s">
        <v>19</v>
      </c>
      <c r="G57" s="12" t="s">
        <v>20</v>
      </c>
      <c r="H57" s="12" t="s">
        <v>39</v>
      </c>
      <c r="I57" s="12" t="s">
        <v>42</v>
      </c>
      <c r="J57" s="12" t="s">
        <v>23</v>
      </c>
      <c r="K57" s="12" t="s">
        <v>24</v>
      </c>
      <c r="L57" s="12" t="s">
        <v>25</v>
      </c>
      <c r="M57" s="12">
        <v>6</v>
      </c>
      <c r="N57" s="12">
        <v>45</v>
      </c>
      <c r="O57" s="12">
        <v>120</v>
      </c>
      <c r="P57" s="12">
        <v>436</v>
      </c>
      <c r="Q57" s="12">
        <v>270</v>
      </c>
      <c r="R57" s="12">
        <v>706</v>
      </c>
    </row>
    <row r="58" spans="1:18" x14ac:dyDescent="0.25">
      <c r="A58" s="13">
        <v>42369</v>
      </c>
      <c r="B58" s="12">
        <v>31</v>
      </c>
      <c r="C58" s="12" t="s">
        <v>41</v>
      </c>
      <c r="D58" s="12">
        <v>2015</v>
      </c>
      <c r="E58" s="12">
        <v>23</v>
      </c>
      <c r="F58" s="12" t="s">
        <v>19</v>
      </c>
      <c r="G58" s="12" t="s">
        <v>20</v>
      </c>
      <c r="H58" s="12" t="s">
        <v>39</v>
      </c>
      <c r="I58" s="12" t="s">
        <v>42</v>
      </c>
      <c r="J58" s="12" t="s">
        <v>23</v>
      </c>
      <c r="K58" s="12" t="s">
        <v>24</v>
      </c>
      <c r="L58" s="12" t="s">
        <v>25</v>
      </c>
      <c r="M58" s="12">
        <v>7</v>
      </c>
      <c r="N58" s="12">
        <v>45</v>
      </c>
      <c r="O58" s="12">
        <v>120</v>
      </c>
      <c r="P58" s="12">
        <v>508</v>
      </c>
      <c r="Q58" s="12">
        <v>315</v>
      </c>
      <c r="R58" s="12">
        <v>823</v>
      </c>
    </row>
    <row r="59" spans="1:18" x14ac:dyDescent="0.25">
      <c r="A59" s="13">
        <v>41534</v>
      </c>
      <c r="B59" s="12">
        <v>17</v>
      </c>
      <c r="C59" s="12" t="s">
        <v>37</v>
      </c>
      <c r="D59" s="12">
        <v>2013</v>
      </c>
      <c r="E59" s="12">
        <v>29</v>
      </c>
      <c r="F59" s="12" t="s">
        <v>35</v>
      </c>
      <c r="G59" s="12" t="s">
        <v>31</v>
      </c>
      <c r="H59" s="12" t="s">
        <v>49</v>
      </c>
      <c r="I59" s="12" t="s">
        <v>50</v>
      </c>
      <c r="J59" s="12" t="s">
        <v>23</v>
      </c>
      <c r="K59" s="12" t="s">
        <v>24</v>
      </c>
      <c r="L59" s="12" t="s">
        <v>25</v>
      </c>
      <c r="M59" s="12">
        <v>15</v>
      </c>
      <c r="N59" s="12">
        <v>45</v>
      </c>
      <c r="O59" s="12">
        <v>120</v>
      </c>
      <c r="P59" s="12">
        <v>1053</v>
      </c>
      <c r="Q59" s="12">
        <v>675</v>
      </c>
      <c r="R59" s="12">
        <v>1728</v>
      </c>
    </row>
    <row r="60" spans="1:18" x14ac:dyDescent="0.25">
      <c r="A60" s="13">
        <v>42264</v>
      </c>
      <c r="B60" s="12">
        <v>17</v>
      </c>
      <c r="C60" s="12" t="s">
        <v>37</v>
      </c>
      <c r="D60" s="12">
        <v>2015</v>
      </c>
      <c r="E60" s="12">
        <v>29</v>
      </c>
      <c r="F60" s="12" t="s">
        <v>35</v>
      </c>
      <c r="G60" s="12" t="s">
        <v>31</v>
      </c>
      <c r="H60" s="12" t="s">
        <v>49</v>
      </c>
      <c r="I60" s="12" t="s">
        <v>50</v>
      </c>
      <c r="J60" s="12" t="s">
        <v>23</v>
      </c>
      <c r="K60" s="12" t="s">
        <v>24</v>
      </c>
      <c r="L60" s="12" t="s">
        <v>25</v>
      </c>
      <c r="M60" s="12">
        <v>15</v>
      </c>
      <c r="N60" s="12">
        <v>45</v>
      </c>
      <c r="O60" s="12">
        <v>120</v>
      </c>
      <c r="P60" s="12">
        <v>1053</v>
      </c>
      <c r="Q60" s="12">
        <v>675</v>
      </c>
      <c r="R60" s="12">
        <v>1728</v>
      </c>
    </row>
    <row r="61" spans="1:18" x14ac:dyDescent="0.25">
      <c r="A61" s="13">
        <v>41541</v>
      </c>
      <c r="B61" s="12">
        <v>24</v>
      </c>
      <c r="C61" s="12" t="s">
        <v>37</v>
      </c>
      <c r="D61" s="12">
        <v>2013</v>
      </c>
      <c r="E61" s="12">
        <v>32</v>
      </c>
      <c r="F61" s="12" t="s">
        <v>35</v>
      </c>
      <c r="G61" s="12" t="s">
        <v>20</v>
      </c>
      <c r="H61" s="12" t="s">
        <v>45</v>
      </c>
      <c r="I61" s="12" t="s">
        <v>51</v>
      </c>
      <c r="J61" s="12" t="s">
        <v>23</v>
      </c>
      <c r="K61" s="12" t="s">
        <v>24</v>
      </c>
      <c r="L61" s="12" t="s">
        <v>25</v>
      </c>
      <c r="M61" s="12">
        <v>6</v>
      </c>
      <c r="N61" s="12">
        <v>45</v>
      </c>
      <c r="O61" s="12">
        <v>120</v>
      </c>
      <c r="P61" s="12">
        <v>356</v>
      </c>
      <c r="Q61" s="12">
        <v>270</v>
      </c>
      <c r="R61" s="12">
        <v>626</v>
      </c>
    </row>
    <row r="62" spans="1:18" x14ac:dyDescent="0.25">
      <c r="A62" s="13">
        <v>42271</v>
      </c>
      <c r="B62" s="12">
        <v>24</v>
      </c>
      <c r="C62" s="12" t="s">
        <v>37</v>
      </c>
      <c r="D62" s="12">
        <v>2015</v>
      </c>
      <c r="E62" s="12">
        <v>32</v>
      </c>
      <c r="F62" s="12" t="s">
        <v>35</v>
      </c>
      <c r="G62" s="12" t="s">
        <v>20</v>
      </c>
      <c r="H62" s="12" t="s">
        <v>45</v>
      </c>
      <c r="I62" s="12" t="s">
        <v>51</v>
      </c>
      <c r="J62" s="12" t="s">
        <v>23</v>
      </c>
      <c r="K62" s="12" t="s">
        <v>24</v>
      </c>
      <c r="L62" s="12" t="s">
        <v>25</v>
      </c>
      <c r="M62" s="12">
        <v>3</v>
      </c>
      <c r="N62" s="12">
        <v>45</v>
      </c>
      <c r="O62" s="12">
        <v>120</v>
      </c>
      <c r="P62" s="12">
        <v>178</v>
      </c>
      <c r="Q62" s="12">
        <v>135</v>
      </c>
      <c r="R62" s="12">
        <v>313</v>
      </c>
    </row>
    <row r="63" spans="1:18" x14ac:dyDescent="0.25">
      <c r="A63" s="13">
        <v>41542</v>
      </c>
      <c r="B63" s="12">
        <v>25</v>
      </c>
      <c r="C63" s="12" t="s">
        <v>37</v>
      </c>
      <c r="D63" s="12">
        <v>2013</v>
      </c>
      <c r="E63" s="12">
        <v>19</v>
      </c>
      <c r="F63" s="12" t="s">
        <v>19</v>
      </c>
      <c r="G63" s="12" t="s">
        <v>31</v>
      </c>
      <c r="H63" s="12" t="s">
        <v>43</v>
      </c>
      <c r="I63" s="12" t="s">
        <v>44</v>
      </c>
      <c r="J63" s="12" t="s">
        <v>23</v>
      </c>
      <c r="K63" s="12" t="s">
        <v>24</v>
      </c>
      <c r="L63" s="12" t="s">
        <v>25</v>
      </c>
      <c r="M63" s="12">
        <v>6</v>
      </c>
      <c r="N63" s="12">
        <v>45</v>
      </c>
      <c r="O63" s="12">
        <v>120</v>
      </c>
      <c r="P63" s="12">
        <v>320</v>
      </c>
      <c r="Q63" s="12">
        <v>270</v>
      </c>
      <c r="R63" s="12">
        <v>590</v>
      </c>
    </row>
    <row r="64" spans="1:18" x14ac:dyDescent="0.25">
      <c r="A64" s="13">
        <v>42272</v>
      </c>
      <c r="B64" s="12">
        <v>25</v>
      </c>
      <c r="C64" s="12" t="s">
        <v>37</v>
      </c>
      <c r="D64" s="12">
        <v>2015</v>
      </c>
      <c r="E64" s="12">
        <v>19</v>
      </c>
      <c r="F64" s="12" t="s">
        <v>19</v>
      </c>
      <c r="G64" s="12" t="s">
        <v>31</v>
      </c>
      <c r="H64" s="12" t="s">
        <v>43</v>
      </c>
      <c r="I64" s="12" t="s">
        <v>44</v>
      </c>
      <c r="J64" s="12" t="s">
        <v>23</v>
      </c>
      <c r="K64" s="12" t="s">
        <v>24</v>
      </c>
      <c r="L64" s="12" t="s">
        <v>25</v>
      </c>
      <c r="M64" s="12">
        <v>8</v>
      </c>
      <c r="N64" s="12">
        <v>45</v>
      </c>
      <c r="O64" s="12">
        <v>120</v>
      </c>
      <c r="P64" s="12">
        <v>427</v>
      </c>
      <c r="Q64" s="12">
        <v>360</v>
      </c>
      <c r="R64" s="12">
        <v>787</v>
      </c>
    </row>
    <row r="65" spans="1:18" x14ac:dyDescent="0.25">
      <c r="A65" s="13">
        <v>41604</v>
      </c>
      <c r="B65" s="12">
        <v>26</v>
      </c>
      <c r="C65" s="12" t="s">
        <v>18</v>
      </c>
      <c r="D65" s="12">
        <v>2013</v>
      </c>
      <c r="E65" s="12">
        <v>26</v>
      </c>
      <c r="F65" s="12" t="s">
        <v>35</v>
      </c>
      <c r="G65" s="12" t="s">
        <v>31</v>
      </c>
      <c r="H65" s="12" t="s">
        <v>21</v>
      </c>
      <c r="I65" s="12" t="s">
        <v>22</v>
      </c>
      <c r="J65" s="12" t="s">
        <v>23</v>
      </c>
      <c r="K65" s="12" t="s">
        <v>24</v>
      </c>
      <c r="L65" s="12" t="s">
        <v>25</v>
      </c>
      <c r="M65" s="12">
        <v>7</v>
      </c>
      <c r="N65" s="12">
        <v>45</v>
      </c>
      <c r="O65" s="12">
        <v>120</v>
      </c>
      <c r="P65" s="12">
        <v>517</v>
      </c>
      <c r="Q65" s="12">
        <v>315</v>
      </c>
      <c r="R65" s="12">
        <v>832</v>
      </c>
    </row>
    <row r="66" spans="1:18" x14ac:dyDescent="0.25">
      <c r="A66" s="13">
        <v>41489</v>
      </c>
      <c r="B66" s="12">
        <v>3</v>
      </c>
      <c r="C66" s="12" t="s">
        <v>36</v>
      </c>
      <c r="D66" s="12">
        <v>2013</v>
      </c>
      <c r="E66" s="12">
        <v>35</v>
      </c>
      <c r="F66" s="12" t="s">
        <v>27</v>
      </c>
      <c r="G66" s="12" t="s">
        <v>20</v>
      </c>
      <c r="H66" s="12" t="s">
        <v>21</v>
      </c>
      <c r="I66" s="12" t="s">
        <v>22</v>
      </c>
      <c r="J66" s="12" t="s">
        <v>23</v>
      </c>
      <c r="K66" s="12" t="s">
        <v>24</v>
      </c>
      <c r="L66" s="12" t="s">
        <v>25</v>
      </c>
      <c r="M66" s="12">
        <v>1</v>
      </c>
      <c r="N66" s="12">
        <v>45</v>
      </c>
      <c r="O66" s="12">
        <v>120</v>
      </c>
      <c r="P66" s="12">
        <v>74</v>
      </c>
      <c r="Q66" s="12">
        <v>45</v>
      </c>
      <c r="R66" s="12">
        <v>119</v>
      </c>
    </row>
    <row r="67" spans="1:18" x14ac:dyDescent="0.25">
      <c r="A67" s="13">
        <v>41809</v>
      </c>
      <c r="B67" s="12">
        <v>19</v>
      </c>
      <c r="C67" s="12" t="s">
        <v>52</v>
      </c>
      <c r="D67" s="12">
        <v>2014</v>
      </c>
      <c r="E67" s="12">
        <v>35</v>
      </c>
      <c r="F67" s="12" t="s">
        <v>27</v>
      </c>
      <c r="G67" s="12" t="s">
        <v>20</v>
      </c>
      <c r="H67" s="12" t="s">
        <v>21</v>
      </c>
      <c r="I67" s="12" t="s">
        <v>22</v>
      </c>
      <c r="J67" s="12" t="s">
        <v>23</v>
      </c>
      <c r="K67" s="12" t="s">
        <v>24</v>
      </c>
      <c r="L67" s="12" t="s">
        <v>25</v>
      </c>
      <c r="M67" s="12">
        <v>10</v>
      </c>
      <c r="N67" s="12">
        <v>45</v>
      </c>
      <c r="O67" s="12">
        <v>120</v>
      </c>
      <c r="P67" s="12">
        <v>738</v>
      </c>
      <c r="Q67" s="12">
        <v>450</v>
      </c>
      <c r="R67" s="12">
        <v>1188</v>
      </c>
    </row>
    <row r="68" spans="1:18" x14ac:dyDescent="0.25">
      <c r="A68" s="13">
        <v>42540</v>
      </c>
      <c r="B68" s="12">
        <v>19</v>
      </c>
      <c r="C68" s="12" t="s">
        <v>52</v>
      </c>
      <c r="D68" s="12">
        <v>2016</v>
      </c>
      <c r="E68" s="12">
        <v>35</v>
      </c>
      <c r="F68" s="12" t="s">
        <v>27</v>
      </c>
      <c r="G68" s="12" t="s">
        <v>20</v>
      </c>
      <c r="H68" s="12" t="s">
        <v>21</v>
      </c>
      <c r="I68" s="12" t="s">
        <v>22</v>
      </c>
      <c r="J68" s="12" t="s">
        <v>23</v>
      </c>
      <c r="K68" s="12" t="s">
        <v>24</v>
      </c>
      <c r="L68" s="12" t="s">
        <v>25</v>
      </c>
      <c r="M68" s="12">
        <v>12</v>
      </c>
      <c r="N68" s="12">
        <v>45</v>
      </c>
      <c r="O68" s="12">
        <v>120</v>
      </c>
      <c r="P68" s="12">
        <v>886</v>
      </c>
      <c r="Q68" s="12">
        <v>540</v>
      </c>
      <c r="R68" s="12">
        <v>1426</v>
      </c>
    </row>
    <row r="69" spans="1:18" x14ac:dyDescent="0.25">
      <c r="A69" s="13">
        <v>41702</v>
      </c>
      <c r="B69" s="12">
        <v>4</v>
      </c>
      <c r="C69" s="12" t="s">
        <v>26</v>
      </c>
      <c r="D69" s="12">
        <v>2014</v>
      </c>
      <c r="E69" s="12">
        <v>38</v>
      </c>
      <c r="F69" s="12" t="s">
        <v>27</v>
      </c>
      <c r="G69" s="12" t="s">
        <v>31</v>
      </c>
      <c r="H69" s="12" t="s">
        <v>39</v>
      </c>
      <c r="I69" s="12" t="s">
        <v>42</v>
      </c>
      <c r="J69" s="12" t="s">
        <v>23</v>
      </c>
      <c r="K69" s="12" t="s">
        <v>24</v>
      </c>
      <c r="L69" s="12" t="s">
        <v>25</v>
      </c>
      <c r="M69" s="12">
        <v>4</v>
      </c>
      <c r="N69" s="12">
        <v>45</v>
      </c>
      <c r="O69" s="12">
        <v>120</v>
      </c>
      <c r="P69" s="12">
        <v>290</v>
      </c>
      <c r="Q69" s="12">
        <v>180</v>
      </c>
      <c r="R69" s="12">
        <v>470</v>
      </c>
    </row>
    <row r="70" spans="1:18" x14ac:dyDescent="0.25">
      <c r="A70" s="13">
        <v>42433</v>
      </c>
      <c r="B70" s="12">
        <v>4</v>
      </c>
      <c r="C70" s="12" t="s">
        <v>26</v>
      </c>
      <c r="D70" s="12">
        <v>2016</v>
      </c>
      <c r="E70" s="12">
        <v>38</v>
      </c>
      <c r="F70" s="12" t="s">
        <v>27</v>
      </c>
      <c r="G70" s="12" t="s">
        <v>31</v>
      </c>
      <c r="H70" s="12" t="s">
        <v>39</v>
      </c>
      <c r="I70" s="12" t="s">
        <v>42</v>
      </c>
      <c r="J70" s="12" t="s">
        <v>23</v>
      </c>
      <c r="K70" s="12" t="s">
        <v>24</v>
      </c>
      <c r="L70" s="12" t="s">
        <v>25</v>
      </c>
      <c r="M70" s="12">
        <v>3</v>
      </c>
      <c r="N70" s="12">
        <v>45</v>
      </c>
      <c r="O70" s="12">
        <v>120</v>
      </c>
      <c r="P70" s="12">
        <v>218</v>
      </c>
      <c r="Q70" s="12">
        <v>135</v>
      </c>
      <c r="R70" s="12">
        <v>353</v>
      </c>
    </row>
    <row r="71" spans="1:18" x14ac:dyDescent="0.25">
      <c r="A71" s="13">
        <v>41789</v>
      </c>
      <c r="B71" s="12">
        <v>30</v>
      </c>
      <c r="C71" s="12" t="s">
        <v>30</v>
      </c>
      <c r="D71" s="12">
        <v>2014</v>
      </c>
      <c r="E71" s="12">
        <v>38</v>
      </c>
      <c r="F71" s="12" t="s">
        <v>27</v>
      </c>
      <c r="G71" s="12" t="s">
        <v>31</v>
      </c>
      <c r="H71" s="12" t="s">
        <v>39</v>
      </c>
      <c r="I71" s="12" t="s">
        <v>42</v>
      </c>
      <c r="J71" s="12" t="s">
        <v>23</v>
      </c>
      <c r="K71" s="12" t="s">
        <v>24</v>
      </c>
      <c r="L71" s="12" t="s">
        <v>25</v>
      </c>
      <c r="M71" s="12">
        <v>2</v>
      </c>
      <c r="N71" s="12">
        <v>45</v>
      </c>
      <c r="O71" s="12">
        <v>120</v>
      </c>
      <c r="P71" s="12">
        <v>145</v>
      </c>
      <c r="Q71" s="12">
        <v>90</v>
      </c>
      <c r="R71" s="12">
        <v>235</v>
      </c>
    </row>
    <row r="72" spans="1:18" x14ac:dyDescent="0.25">
      <c r="A72" s="13">
        <v>42520</v>
      </c>
      <c r="B72" s="12">
        <v>30</v>
      </c>
      <c r="C72" s="12" t="s">
        <v>30</v>
      </c>
      <c r="D72" s="12">
        <v>2016</v>
      </c>
      <c r="E72" s="12">
        <v>38</v>
      </c>
      <c r="F72" s="12" t="s">
        <v>27</v>
      </c>
      <c r="G72" s="12" t="s">
        <v>31</v>
      </c>
      <c r="H72" s="12" t="s">
        <v>39</v>
      </c>
      <c r="I72" s="12" t="s">
        <v>42</v>
      </c>
      <c r="J72" s="12" t="s">
        <v>23</v>
      </c>
      <c r="K72" s="12" t="s">
        <v>24</v>
      </c>
      <c r="L72" s="12" t="s">
        <v>25</v>
      </c>
      <c r="M72" s="12">
        <v>2</v>
      </c>
      <c r="N72" s="12">
        <v>45</v>
      </c>
      <c r="O72" s="12">
        <v>120</v>
      </c>
      <c r="P72" s="12">
        <v>145</v>
      </c>
      <c r="Q72" s="12">
        <v>90</v>
      </c>
      <c r="R72" s="12">
        <v>235</v>
      </c>
    </row>
    <row r="73" spans="1:18" x14ac:dyDescent="0.25">
      <c r="A73" s="13">
        <v>41818</v>
      </c>
      <c r="B73" s="12">
        <v>28</v>
      </c>
      <c r="C73" s="12" t="s">
        <v>52</v>
      </c>
      <c r="D73" s="12">
        <v>2014</v>
      </c>
      <c r="E73" s="12">
        <v>38</v>
      </c>
      <c r="F73" s="12" t="s">
        <v>27</v>
      </c>
      <c r="G73" s="12" t="s">
        <v>31</v>
      </c>
      <c r="H73" s="12" t="s">
        <v>39</v>
      </c>
      <c r="I73" s="12" t="s">
        <v>42</v>
      </c>
      <c r="J73" s="12" t="s">
        <v>23</v>
      </c>
      <c r="K73" s="12" t="s">
        <v>24</v>
      </c>
      <c r="L73" s="12" t="s">
        <v>25</v>
      </c>
      <c r="M73" s="12">
        <v>10</v>
      </c>
      <c r="N73" s="12">
        <v>45</v>
      </c>
      <c r="O73" s="12">
        <v>120</v>
      </c>
      <c r="P73" s="12">
        <v>726</v>
      </c>
      <c r="Q73" s="12">
        <v>450</v>
      </c>
      <c r="R73" s="12">
        <v>1176</v>
      </c>
    </row>
    <row r="74" spans="1:18" x14ac:dyDescent="0.25">
      <c r="A74" s="13">
        <v>42549</v>
      </c>
      <c r="B74" s="12">
        <v>28</v>
      </c>
      <c r="C74" s="12" t="s">
        <v>52</v>
      </c>
      <c r="D74" s="12">
        <v>2016</v>
      </c>
      <c r="E74" s="12">
        <v>38</v>
      </c>
      <c r="F74" s="12" t="s">
        <v>27</v>
      </c>
      <c r="G74" s="12" t="s">
        <v>31</v>
      </c>
      <c r="H74" s="12" t="s">
        <v>39</v>
      </c>
      <c r="I74" s="12" t="s">
        <v>42</v>
      </c>
      <c r="J74" s="12" t="s">
        <v>23</v>
      </c>
      <c r="K74" s="12" t="s">
        <v>24</v>
      </c>
      <c r="L74" s="12" t="s">
        <v>25</v>
      </c>
      <c r="M74" s="12">
        <v>7</v>
      </c>
      <c r="N74" s="12">
        <v>45</v>
      </c>
      <c r="O74" s="12">
        <v>120</v>
      </c>
      <c r="P74" s="12">
        <v>508</v>
      </c>
      <c r="Q74" s="12">
        <v>315</v>
      </c>
      <c r="R74" s="12">
        <v>823</v>
      </c>
    </row>
    <row r="75" spans="1:18" x14ac:dyDescent="0.25">
      <c r="A75" s="13">
        <v>41830</v>
      </c>
      <c r="B75" s="12">
        <v>10</v>
      </c>
      <c r="C75" s="12" t="s">
        <v>34</v>
      </c>
      <c r="D75" s="12">
        <v>2014</v>
      </c>
      <c r="E75" s="12">
        <v>38</v>
      </c>
      <c r="F75" s="12" t="s">
        <v>27</v>
      </c>
      <c r="G75" s="12" t="s">
        <v>31</v>
      </c>
      <c r="H75" s="12" t="s">
        <v>39</v>
      </c>
      <c r="I75" s="12" t="s">
        <v>42</v>
      </c>
      <c r="J75" s="12" t="s">
        <v>23</v>
      </c>
      <c r="K75" s="12" t="s">
        <v>24</v>
      </c>
      <c r="L75" s="12" t="s">
        <v>25</v>
      </c>
      <c r="M75" s="12">
        <v>13</v>
      </c>
      <c r="N75" s="12">
        <v>45</v>
      </c>
      <c r="O75" s="12">
        <v>120</v>
      </c>
      <c r="P75" s="12">
        <v>944</v>
      </c>
      <c r="Q75" s="12">
        <v>585</v>
      </c>
      <c r="R75" s="12">
        <v>1529</v>
      </c>
    </row>
    <row r="76" spans="1:18" x14ac:dyDescent="0.25">
      <c r="A76" s="13">
        <v>42561</v>
      </c>
      <c r="B76" s="12">
        <v>10</v>
      </c>
      <c r="C76" s="12" t="s">
        <v>34</v>
      </c>
      <c r="D76" s="12">
        <v>2016</v>
      </c>
      <c r="E76" s="12">
        <v>38</v>
      </c>
      <c r="F76" s="12" t="s">
        <v>27</v>
      </c>
      <c r="G76" s="12" t="s">
        <v>31</v>
      </c>
      <c r="H76" s="12" t="s">
        <v>39</v>
      </c>
      <c r="I76" s="12" t="s">
        <v>42</v>
      </c>
      <c r="J76" s="12" t="s">
        <v>23</v>
      </c>
      <c r="K76" s="12" t="s">
        <v>24</v>
      </c>
      <c r="L76" s="12" t="s">
        <v>25</v>
      </c>
      <c r="M76" s="12">
        <v>12</v>
      </c>
      <c r="N76" s="12">
        <v>45</v>
      </c>
      <c r="O76" s="12">
        <v>120</v>
      </c>
      <c r="P76" s="12">
        <v>871</v>
      </c>
      <c r="Q76" s="12">
        <v>540</v>
      </c>
      <c r="R76" s="12">
        <v>1411</v>
      </c>
    </row>
    <row r="77" spans="1:18" x14ac:dyDescent="0.25">
      <c r="A77" s="13">
        <v>41710</v>
      </c>
      <c r="B77" s="12">
        <v>12</v>
      </c>
      <c r="C77" s="12" t="s">
        <v>26</v>
      </c>
      <c r="D77" s="12">
        <v>2014</v>
      </c>
      <c r="E77" s="12">
        <v>54</v>
      </c>
      <c r="F77" s="12" t="s">
        <v>27</v>
      </c>
      <c r="G77" s="12" t="s">
        <v>31</v>
      </c>
      <c r="H77" s="12" t="s">
        <v>28</v>
      </c>
      <c r="I77" s="12" t="s">
        <v>48</v>
      </c>
      <c r="J77" s="12" t="s">
        <v>23</v>
      </c>
      <c r="K77" s="12" t="s">
        <v>24</v>
      </c>
      <c r="L77" s="12" t="s">
        <v>25</v>
      </c>
      <c r="M77" s="12">
        <v>7</v>
      </c>
      <c r="N77" s="12">
        <v>45</v>
      </c>
      <c r="O77" s="12">
        <v>120</v>
      </c>
      <c r="P77" s="12">
        <v>391</v>
      </c>
      <c r="Q77" s="12">
        <v>315</v>
      </c>
      <c r="R77" s="12">
        <v>706</v>
      </c>
    </row>
    <row r="78" spans="1:18" x14ac:dyDescent="0.25">
      <c r="A78" s="13">
        <v>42441</v>
      </c>
      <c r="B78" s="12">
        <v>12</v>
      </c>
      <c r="C78" s="12" t="s">
        <v>26</v>
      </c>
      <c r="D78" s="12">
        <v>2016</v>
      </c>
      <c r="E78" s="12">
        <v>54</v>
      </c>
      <c r="F78" s="12" t="s">
        <v>27</v>
      </c>
      <c r="G78" s="12" t="s">
        <v>31</v>
      </c>
      <c r="H78" s="12" t="s">
        <v>28</v>
      </c>
      <c r="I78" s="12" t="s">
        <v>48</v>
      </c>
      <c r="J78" s="12" t="s">
        <v>23</v>
      </c>
      <c r="K78" s="12" t="s">
        <v>24</v>
      </c>
      <c r="L78" s="12" t="s">
        <v>25</v>
      </c>
      <c r="M78" s="12">
        <v>6</v>
      </c>
      <c r="N78" s="12">
        <v>45</v>
      </c>
      <c r="O78" s="12">
        <v>120</v>
      </c>
      <c r="P78" s="12">
        <v>335</v>
      </c>
      <c r="Q78" s="12">
        <v>270</v>
      </c>
      <c r="R78" s="12">
        <v>605</v>
      </c>
    </row>
    <row r="79" spans="1:18" x14ac:dyDescent="0.25">
      <c r="A79" s="13">
        <v>41520</v>
      </c>
      <c r="B79" s="12">
        <v>3</v>
      </c>
      <c r="C79" s="12" t="s">
        <v>37</v>
      </c>
      <c r="D79" s="12">
        <v>2013</v>
      </c>
      <c r="E79" s="12">
        <v>51</v>
      </c>
      <c r="F79" s="12" t="s">
        <v>27</v>
      </c>
      <c r="G79" s="12" t="s">
        <v>31</v>
      </c>
      <c r="H79" s="12" t="s">
        <v>39</v>
      </c>
      <c r="I79" s="12" t="s">
        <v>53</v>
      </c>
      <c r="J79" s="12" t="s">
        <v>23</v>
      </c>
      <c r="K79" s="12" t="s">
        <v>24</v>
      </c>
      <c r="L79" s="12" t="s">
        <v>25</v>
      </c>
      <c r="M79" s="12">
        <v>7</v>
      </c>
      <c r="N79" s="12">
        <v>45</v>
      </c>
      <c r="O79" s="12">
        <v>120</v>
      </c>
      <c r="P79" s="12">
        <v>340</v>
      </c>
      <c r="Q79" s="12">
        <v>315</v>
      </c>
      <c r="R79" s="12">
        <v>655</v>
      </c>
    </row>
    <row r="80" spans="1:18" x14ac:dyDescent="0.25">
      <c r="A80" s="13">
        <v>42250</v>
      </c>
      <c r="B80" s="12">
        <v>3</v>
      </c>
      <c r="C80" s="12" t="s">
        <v>37</v>
      </c>
      <c r="D80" s="12">
        <v>2015</v>
      </c>
      <c r="E80" s="12">
        <v>51</v>
      </c>
      <c r="F80" s="12" t="s">
        <v>27</v>
      </c>
      <c r="G80" s="12" t="s">
        <v>31</v>
      </c>
      <c r="H80" s="12" t="s">
        <v>39</v>
      </c>
      <c r="I80" s="12" t="s">
        <v>53</v>
      </c>
      <c r="J80" s="12" t="s">
        <v>23</v>
      </c>
      <c r="K80" s="12" t="s">
        <v>24</v>
      </c>
      <c r="L80" s="12" t="s">
        <v>25</v>
      </c>
      <c r="M80" s="12">
        <v>9</v>
      </c>
      <c r="N80" s="12">
        <v>45</v>
      </c>
      <c r="O80" s="12">
        <v>120</v>
      </c>
      <c r="P80" s="12">
        <v>437</v>
      </c>
      <c r="Q80" s="12">
        <v>405</v>
      </c>
      <c r="R80" s="12">
        <v>842</v>
      </c>
    </row>
    <row r="81" spans="1:18" x14ac:dyDescent="0.25">
      <c r="A81" s="13">
        <v>41724</v>
      </c>
      <c r="B81" s="12">
        <v>26</v>
      </c>
      <c r="C81" s="12" t="s">
        <v>26</v>
      </c>
      <c r="D81" s="12">
        <v>2014</v>
      </c>
      <c r="E81" s="12">
        <v>47</v>
      </c>
      <c r="F81" s="12" t="s">
        <v>27</v>
      </c>
      <c r="G81" s="12" t="s">
        <v>31</v>
      </c>
      <c r="H81" s="12" t="s">
        <v>39</v>
      </c>
      <c r="I81" s="12" t="s">
        <v>42</v>
      </c>
      <c r="J81" s="12" t="s">
        <v>23</v>
      </c>
      <c r="K81" s="12" t="s">
        <v>24</v>
      </c>
      <c r="L81" s="12" t="s">
        <v>25</v>
      </c>
      <c r="M81" s="12">
        <v>6</v>
      </c>
      <c r="N81" s="12">
        <v>45</v>
      </c>
      <c r="O81" s="12">
        <v>120</v>
      </c>
      <c r="P81" s="12">
        <v>436</v>
      </c>
      <c r="Q81" s="12">
        <v>270</v>
      </c>
      <c r="R81" s="12">
        <v>706</v>
      </c>
    </row>
    <row r="82" spans="1:18" x14ac:dyDescent="0.25">
      <c r="A82" s="13">
        <v>42455</v>
      </c>
      <c r="B82" s="12">
        <v>26</v>
      </c>
      <c r="C82" s="12" t="s">
        <v>26</v>
      </c>
      <c r="D82" s="12">
        <v>2016</v>
      </c>
      <c r="E82" s="12">
        <v>47</v>
      </c>
      <c r="F82" s="12" t="s">
        <v>27</v>
      </c>
      <c r="G82" s="12" t="s">
        <v>31</v>
      </c>
      <c r="H82" s="12" t="s">
        <v>39</v>
      </c>
      <c r="I82" s="12" t="s">
        <v>42</v>
      </c>
      <c r="J82" s="12" t="s">
        <v>23</v>
      </c>
      <c r="K82" s="12" t="s">
        <v>24</v>
      </c>
      <c r="L82" s="12" t="s">
        <v>25</v>
      </c>
      <c r="M82" s="12">
        <v>4</v>
      </c>
      <c r="N82" s="12">
        <v>45</v>
      </c>
      <c r="O82" s="12">
        <v>120</v>
      </c>
      <c r="P82" s="12">
        <v>290</v>
      </c>
      <c r="Q82" s="12">
        <v>180</v>
      </c>
      <c r="R82" s="12">
        <v>470</v>
      </c>
    </row>
    <row r="83" spans="1:18" x14ac:dyDescent="0.25">
      <c r="A83" s="13">
        <v>41763</v>
      </c>
      <c r="B83" s="12">
        <v>4</v>
      </c>
      <c r="C83" s="12" t="s">
        <v>30</v>
      </c>
      <c r="D83" s="12">
        <v>2014</v>
      </c>
      <c r="E83" s="12">
        <v>47</v>
      </c>
      <c r="F83" s="12" t="s">
        <v>27</v>
      </c>
      <c r="G83" s="12" t="s">
        <v>31</v>
      </c>
      <c r="H83" s="12" t="s">
        <v>39</v>
      </c>
      <c r="I83" s="12" t="s">
        <v>42</v>
      </c>
      <c r="J83" s="12" t="s">
        <v>23</v>
      </c>
      <c r="K83" s="12" t="s">
        <v>24</v>
      </c>
      <c r="L83" s="12" t="s">
        <v>25</v>
      </c>
      <c r="M83" s="12">
        <v>17</v>
      </c>
      <c r="N83" s="12">
        <v>45</v>
      </c>
      <c r="O83" s="12">
        <v>120</v>
      </c>
      <c r="P83" s="12">
        <v>1234</v>
      </c>
      <c r="Q83" s="12">
        <v>765</v>
      </c>
      <c r="R83" s="12">
        <v>1999</v>
      </c>
    </row>
    <row r="84" spans="1:18" x14ac:dyDescent="0.25">
      <c r="A84" s="13">
        <v>42494</v>
      </c>
      <c r="B84" s="12">
        <v>4</v>
      </c>
      <c r="C84" s="12" t="s">
        <v>30</v>
      </c>
      <c r="D84" s="12">
        <v>2016</v>
      </c>
      <c r="E84" s="12">
        <v>47</v>
      </c>
      <c r="F84" s="12" t="s">
        <v>27</v>
      </c>
      <c r="G84" s="12" t="s">
        <v>31</v>
      </c>
      <c r="H84" s="12" t="s">
        <v>39</v>
      </c>
      <c r="I84" s="12" t="s">
        <v>42</v>
      </c>
      <c r="J84" s="12" t="s">
        <v>23</v>
      </c>
      <c r="K84" s="12" t="s">
        <v>24</v>
      </c>
      <c r="L84" s="12" t="s">
        <v>25</v>
      </c>
      <c r="M84" s="12">
        <v>16</v>
      </c>
      <c r="N84" s="12">
        <v>45</v>
      </c>
      <c r="O84" s="12">
        <v>120</v>
      </c>
      <c r="P84" s="12">
        <v>1162</v>
      </c>
      <c r="Q84" s="12">
        <v>720</v>
      </c>
      <c r="R84" s="12">
        <v>1882</v>
      </c>
    </row>
    <row r="85" spans="1:18" x14ac:dyDescent="0.25">
      <c r="A85" s="13">
        <v>41674</v>
      </c>
      <c r="B85" s="12">
        <v>4</v>
      </c>
      <c r="C85" s="12" t="s">
        <v>33</v>
      </c>
      <c r="D85" s="12">
        <v>2014</v>
      </c>
      <c r="E85" s="12">
        <v>46</v>
      </c>
      <c r="F85" s="12" t="s">
        <v>27</v>
      </c>
      <c r="G85" s="12" t="s">
        <v>20</v>
      </c>
      <c r="H85" s="12" t="s">
        <v>39</v>
      </c>
      <c r="I85" s="12" t="s">
        <v>53</v>
      </c>
      <c r="J85" s="12" t="s">
        <v>23</v>
      </c>
      <c r="K85" s="12" t="s">
        <v>24</v>
      </c>
      <c r="L85" s="12" t="s">
        <v>25</v>
      </c>
      <c r="M85" s="12">
        <v>1</v>
      </c>
      <c r="N85" s="12">
        <v>45</v>
      </c>
      <c r="O85" s="12">
        <v>120</v>
      </c>
      <c r="P85" s="12">
        <v>49</v>
      </c>
      <c r="Q85" s="12">
        <v>45</v>
      </c>
      <c r="R85" s="12">
        <v>94</v>
      </c>
    </row>
    <row r="86" spans="1:18" x14ac:dyDescent="0.25">
      <c r="A86" s="13">
        <v>42404</v>
      </c>
      <c r="B86" s="12">
        <v>4</v>
      </c>
      <c r="C86" s="12" t="s">
        <v>33</v>
      </c>
      <c r="D86" s="12">
        <v>2016</v>
      </c>
      <c r="E86" s="12">
        <v>46</v>
      </c>
      <c r="F86" s="12" t="s">
        <v>27</v>
      </c>
      <c r="G86" s="12" t="s">
        <v>20</v>
      </c>
      <c r="H86" s="12" t="s">
        <v>39</v>
      </c>
      <c r="I86" s="12" t="s">
        <v>53</v>
      </c>
      <c r="J86" s="12" t="s">
        <v>23</v>
      </c>
      <c r="K86" s="12" t="s">
        <v>24</v>
      </c>
      <c r="L86" s="12" t="s">
        <v>25</v>
      </c>
      <c r="M86" s="12">
        <v>3</v>
      </c>
      <c r="N86" s="12">
        <v>45</v>
      </c>
      <c r="O86" s="12">
        <v>120</v>
      </c>
      <c r="P86" s="12">
        <v>146</v>
      </c>
      <c r="Q86" s="12">
        <v>135</v>
      </c>
      <c r="R86" s="12">
        <v>281</v>
      </c>
    </row>
    <row r="87" spans="1:18" x14ac:dyDescent="0.25">
      <c r="A87" s="13">
        <v>41584</v>
      </c>
      <c r="B87" s="12">
        <v>6</v>
      </c>
      <c r="C87" s="12" t="s">
        <v>18</v>
      </c>
      <c r="D87" s="12">
        <v>2013</v>
      </c>
      <c r="E87" s="12">
        <v>46</v>
      </c>
      <c r="F87" s="12" t="s">
        <v>27</v>
      </c>
      <c r="G87" s="12" t="s">
        <v>20</v>
      </c>
      <c r="H87" s="12" t="s">
        <v>39</v>
      </c>
      <c r="I87" s="12" t="s">
        <v>42</v>
      </c>
      <c r="J87" s="12" t="s">
        <v>23</v>
      </c>
      <c r="K87" s="12" t="s">
        <v>24</v>
      </c>
      <c r="L87" s="12" t="s">
        <v>25</v>
      </c>
      <c r="M87" s="12">
        <v>5</v>
      </c>
      <c r="N87" s="12">
        <v>45</v>
      </c>
      <c r="O87" s="12">
        <v>120</v>
      </c>
      <c r="P87" s="12">
        <v>363</v>
      </c>
      <c r="Q87" s="12">
        <v>225</v>
      </c>
      <c r="R87" s="12">
        <v>588</v>
      </c>
    </row>
    <row r="88" spans="1:18" x14ac:dyDescent="0.25">
      <c r="A88" s="13">
        <v>42314</v>
      </c>
      <c r="B88" s="12">
        <v>6</v>
      </c>
      <c r="C88" s="12" t="s">
        <v>18</v>
      </c>
      <c r="D88" s="12">
        <v>2015</v>
      </c>
      <c r="E88" s="12">
        <v>46</v>
      </c>
      <c r="F88" s="12" t="s">
        <v>27</v>
      </c>
      <c r="G88" s="12" t="s">
        <v>20</v>
      </c>
      <c r="H88" s="12" t="s">
        <v>39</v>
      </c>
      <c r="I88" s="12" t="s">
        <v>42</v>
      </c>
      <c r="J88" s="12" t="s">
        <v>23</v>
      </c>
      <c r="K88" s="12" t="s">
        <v>24</v>
      </c>
      <c r="L88" s="12" t="s">
        <v>25</v>
      </c>
      <c r="M88" s="12">
        <v>4</v>
      </c>
      <c r="N88" s="12">
        <v>45</v>
      </c>
      <c r="O88" s="12">
        <v>120</v>
      </c>
      <c r="P88" s="12">
        <v>290</v>
      </c>
      <c r="Q88" s="12">
        <v>180</v>
      </c>
      <c r="R88" s="12">
        <v>470</v>
      </c>
    </row>
    <row r="89" spans="1:18" x14ac:dyDescent="0.25">
      <c r="A89" s="13">
        <v>41682</v>
      </c>
      <c r="B89" s="12">
        <v>12</v>
      </c>
      <c r="C89" s="12" t="s">
        <v>33</v>
      </c>
      <c r="D89" s="12">
        <v>2014</v>
      </c>
      <c r="E89" s="12">
        <v>46</v>
      </c>
      <c r="F89" s="12" t="s">
        <v>27</v>
      </c>
      <c r="G89" s="12" t="s">
        <v>20</v>
      </c>
      <c r="H89" s="12" t="s">
        <v>39</v>
      </c>
      <c r="I89" s="12" t="s">
        <v>42</v>
      </c>
      <c r="J89" s="12" t="s">
        <v>23</v>
      </c>
      <c r="K89" s="12" t="s">
        <v>24</v>
      </c>
      <c r="L89" s="12" t="s">
        <v>25</v>
      </c>
      <c r="M89" s="12">
        <v>30</v>
      </c>
      <c r="N89" s="12">
        <v>45</v>
      </c>
      <c r="O89" s="12">
        <v>120</v>
      </c>
      <c r="P89" s="12">
        <v>2178</v>
      </c>
      <c r="Q89" s="12">
        <v>1350</v>
      </c>
      <c r="R89" s="12">
        <v>3528</v>
      </c>
    </row>
    <row r="90" spans="1:18" x14ac:dyDescent="0.25">
      <c r="A90" s="13">
        <v>42412</v>
      </c>
      <c r="B90" s="12">
        <v>12</v>
      </c>
      <c r="C90" s="12" t="s">
        <v>33</v>
      </c>
      <c r="D90" s="12">
        <v>2016</v>
      </c>
      <c r="E90" s="12">
        <v>46</v>
      </c>
      <c r="F90" s="12" t="s">
        <v>27</v>
      </c>
      <c r="G90" s="12" t="s">
        <v>20</v>
      </c>
      <c r="H90" s="12" t="s">
        <v>39</v>
      </c>
      <c r="I90" s="12" t="s">
        <v>42</v>
      </c>
      <c r="J90" s="12" t="s">
        <v>23</v>
      </c>
      <c r="K90" s="12" t="s">
        <v>24</v>
      </c>
      <c r="L90" s="12" t="s">
        <v>25</v>
      </c>
      <c r="M90" s="12">
        <v>27</v>
      </c>
      <c r="N90" s="12">
        <v>45</v>
      </c>
      <c r="O90" s="12">
        <v>120</v>
      </c>
      <c r="P90" s="12">
        <v>1960</v>
      </c>
      <c r="Q90" s="12">
        <v>1215</v>
      </c>
      <c r="R90" s="12">
        <v>3175</v>
      </c>
    </row>
    <row r="91" spans="1:18" x14ac:dyDescent="0.25">
      <c r="A91" s="13">
        <v>41776</v>
      </c>
      <c r="B91" s="12">
        <v>17</v>
      </c>
      <c r="C91" s="12" t="s">
        <v>30</v>
      </c>
      <c r="D91" s="12">
        <v>2014</v>
      </c>
      <c r="E91" s="12">
        <v>46</v>
      </c>
      <c r="F91" s="12" t="s">
        <v>27</v>
      </c>
      <c r="G91" s="12" t="s">
        <v>20</v>
      </c>
      <c r="H91" s="12" t="s">
        <v>39</v>
      </c>
      <c r="I91" s="12" t="s">
        <v>42</v>
      </c>
      <c r="J91" s="12" t="s">
        <v>23</v>
      </c>
      <c r="K91" s="12" t="s">
        <v>24</v>
      </c>
      <c r="L91" s="12" t="s">
        <v>25</v>
      </c>
      <c r="M91" s="12">
        <v>5</v>
      </c>
      <c r="N91" s="12">
        <v>45</v>
      </c>
      <c r="O91" s="12">
        <v>120</v>
      </c>
      <c r="P91" s="12">
        <v>363</v>
      </c>
      <c r="Q91" s="12">
        <v>225</v>
      </c>
      <c r="R91" s="12">
        <v>588</v>
      </c>
    </row>
    <row r="92" spans="1:18" x14ac:dyDescent="0.25">
      <c r="A92" s="13">
        <v>41540</v>
      </c>
      <c r="B92" s="12">
        <v>23</v>
      </c>
      <c r="C92" s="12" t="s">
        <v>37</v>
      </c>
      <c r="D92" s="12">
        <v>2013</v>
      </c>
      <c r="E92" s="12">
        <v>41</v>
      </c>
      <c r="F92" s="12" t="s">
        <v>27</v>
      </c>
      <c r="G92" s="12" t="s">
        <v>31</v>
      </c>
      <c r="H92" s="12" t="s">
        <v>43</v>
      </c>
      <c r="I92" s="12" t="s">
        <v>54</v>
      </c>
      <c r="J92" s="12" t="s">
        <v>23</v>
      </c>
      <c r="K92" s="12" t="s">
        <v>24</v>
      </c>
      <c r="L92" s="12" t="s">
        <v>25</v>
      </c>
      <c r="M92" s="12">
        <v>28</v>
      </c>
      <c r="N92" s="12">
        <v>45</v>
      </c>
      <c r="O92" s="12">
        <v>120</v>
      </c>
      <c r="P92" s="12">
        <v>1865</v>
      </c>
      <c r="Q92" s="12">
        <v>1260</v>
      </c>
      <c r="R92" s="12">
        <v>3125</v>
      </c>
    </row>
    <row r="93" spans="1:18" x14ac:dyDescent="0.25">
      <c r="A93" s="13">
        <v>42270</v>
      </c>
      <c r="B93" s="12">
        <v>23</v>
      </c>
      <c r="C93" s="12" t="s">
        <v>37</v>
      </c>
      <c r="D93" s="12">
        <v>2015</v>
      </c>
      <c r="E93" s="12">
        <v>41</v>
      </c>
      <c r="F93" s="12" t="s">
        <v>27</v>
      </c>
      <c r="G93" s="12" t="s">
        <v>31</v>
      </c>
      <c r="H93" s="12" t="s">
        <v>43</v>
      </c>
      <c r="I93" s="12" t="s">
        <v>54</v>
      </c>
      <c r="J93" s="12" t="s">
        <v>23</v>
      </c>
      <c r="K93" s="12" t="s">
        <v>24</v>
      </c>
      <c r="L93" s="12" t="s">
        <v>25</v>
      </c>
      <c r="M93" s="12">
        <v>29</v>
      </c>
      <c r="N93" s="12">
        <v>45</v>
      </c>
      <c r="O93" s="12">
        <v>120</v>
      </c>
      <c r="P93" s="12">
        <v>1931</v>
      </c>
      <c r="Q93" s="12">
        <v>1305</v>
      </c>
      <c r="R93" s="12">
        <v>3236</v>
      </c>
    </row>
    <row r="94" spans="1:18" x14ac:dyDescent="0.25">
      <c r="A94" s="13">
        <v>41537</v>
      </c>
      <c r="B94" s="12">
        <v>20</v>
      </c>
      <c r="C94" s="12" t="s">
        <v>37</v>
      </c>
      <c r="D94" s="12">
        <v>2013</v>
      </c>
      <c r="E94" s="12">
        <v>32</v>
      </c>
      <c r="F94" s="12" t="s">
        <v>35</v>
      </c>
      <c r="G94" s="12" t="s">
        <v>20</v>
      </c>
      <c r="H94" s="12" t="s">
        <v>39</v>
      </c>
      <c r="I94" s="12" t="s">
        <v>53</v>
      </c>
      <c r="J94" s="12" t="s">
        <v>23</v>
      </c>
      <c r="K94" s="12" t="s">
        <v>24</v>
      </c>
      <c r="L94" s="12" t="s">
        <v>25</v>
      </c>
      <c r="M94" s="12">
        <v>3</v>
      </c>
      <c r="N94" s="12">
        <v>45</v>
      </c>
      <c r="O94" s="12">
        <v>120</v>
      </c>
      <c r="P94" s="12">
        <v>146</v>
      </c>
      <c r="Q94" s="12">
        <v>135</v>
      </c>
      <c r="R94" s="12">
        <v>281</v>
      </c>
    </row>
    <row r="95" spans="1:18" x14ac:dyDescent="0.25">
      <c r="A95" s="13">
        <v>42267</v>
      </c>
      <c r="B95" s="12">
        <v>20</v>
      </c>
      <c r="C95" s="12" t="s">
        <v>37</v>
      </c>
      <c r="D95" s="12">
        <v>2015</v>
      </c>
      <c r="E95" s="12">
        <v>32</v>
      </c>
      <c r="F95" s="12" t="s">
        <v>35</v>
      </c>
      <c r="G95" s="12" t="s">
        <v>20</v>
      </c>
      <c r="H95" s="12" t="s">
        <v>39</v>
      </c>
      <c r="I95" s="12" t="s">
        <v>53</v>
      </c>
      <c r="J95" s="12" t="s">
        <v>23</v>
      </c>
      <c r="K95" s="12" t="s">
        <v>24</v>
      </c>
      <c r="L95" s="12" t="s">
        <v>25</v>
      </c>
      <c r="M95" s="12">
        <v>1</v>
      </c>
      <c r="N95" s="12">
        <v>45</v>
      </c>
      <c r="O95" s="12">
        <v>120</v>
      </c>
      <c r="P95" s="12">
        <v>49</v>
      </c>
      <c r="Q95" s="12">
        <v>45</v>
      </c>
      <c r="R95" s="12">
        <v>94</v>
      </c>
    </row>
    <row r="96" spans="1:18" x14ac:dyDescent="0.25">
      <c r="A96" s="13">
        <v>41572</v>
      </c>
      <c r="B96" s="12">
        <v>25</v>
      </c>
      <c r="C96" s="12" t="s">
        <v>55</v>
      </c>
      <c r="D96" s="12">
        <v>2013</v>
      </c>
      <c r="E96" s="12">
        <v>32</v>
      </c>
      <c r="F96" s="12" t="s">
        <v>35</v>
      </c>
      <c r="G96" s="12" t="s">
        <v>20</v>
      </c>
      <c r="H96" s="12" t="s">
        <v>39</v>
      </c>
      <c r="I96" s="12" t="s">
        <v>42</v>
      </c>
      <c r="J96" s="12" t="s">
        <v>23</v>
      </c>
      <c r="K96" s="12" t="s">
        <v>24</v>
      </c>
      <c r="L96" s="12" t="s">
        <v>25</v>
      </c>
      <c r="M96" s="12">
        <v>8</v>
      </c>
      <c r="N96" s="12">
        <v>45</v>
      </c>
      <c r="O96" s="12">
        <v>120</v>
      </c>
      <c r="P96" s="12">
        <v>581</v>
      </c>
      <c r="Q96" s="12">
        <v>360</v>
      </c>
      <c r="R96" s="12">
        <v>941</v>
      </c>
    </row>
    <row r="99" spans="1:2" ht="21" x14ac:dyDescent="0.35">
      <c r="A99" s="17" t="s">
        <v>61</v>
      </c>
      <c r="B99">
        <f>VLOOKUP(A2, A2:D96, 4, FALSE)</f>
        <v>2013</v>
      </c>
    </row>
    <row r="102" spans="1:2" ht="21" x14ac:dyDescent="0.35">
      <c r="A102" s="17" t="s">
        <v>62</v>
      </c>
      <c r="B102">
        <f>INDEX(D2:D96, MATCH(A2, A2:A96, 0))</f>
        <v>2013</v>
      </c>
    </row>
    <row r="105" spans="1:2" ht="21" x14ac:dyDescent="0.35">
      <c r="A105" s="17" t="s">
        <v>63</v>
      </c>
      <c r="B105" t="str">
        <f>IF(P2 &gt; 500, "High Profit", "Low Profit")</f>
        <v>High Profit</v>
      </c>
    </row>
    <row r="108" spans="1:2" ht="21" x14ac:dyDescent="0.35">
      <c r="A108" s="17" t="s">
        <v>64</v>
      </c>
      <c r="B108" t="str">
        <f>IF(P2&gt;1000,"High",
   IF(P2&gt;500,"Medium","Low"))</f>
        <v>Medium</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pactical_exam</vt:lpstr>
      <vt:lpstr>pivot table</vt:lpstr>
      <vt:lpstr>clean_data</vt:lpstr>
      <vt:lpstr>advanted_formula</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2025-12-05T06:33:25Z</dcterms:created>
  <dcterms:modified xsi:type="dcterms:W3CDTF">2025-12-05T10:27:20Z</dcterms:modified>
</cp:coreProperties>
</file>